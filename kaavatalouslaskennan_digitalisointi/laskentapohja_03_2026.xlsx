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ramboll.sharepoint.com/sites/RTR2025N03565/Shared Documents/General - tampere/poc/"/>
    </mc:Choice>
  </mc:AlternateContent>
  <xr:revisionPtr revIDLastSave="490" documentId="8_{7375286B-63F1-48BA-AFB6-DFA324A4B042}" xr6:coauthVersionLast="47" xr6:coauthVersionMax="47" xr10:uidLastSave="{BF17B5CB-7EA7-440F-BC39-D2AD6B60531E}"/>
  <bookViews>
    <workbookView xWindow="28692" yWindow="-108" windowWidth="38616" windowHeight="21096" firstSheet="2" activeTab="2" xr2:uid="{DBC00A78-18F2-4E96-9B52-52829B09111E}"/>
  </bookViews>
  <sheets>
    <sheet name="taustatiedot" sheetId="1" r:id="rId1"/>
    <sheet name="data" sheetId="3" r:id="rId2"/>
    <sheet name="pohja_talous" sheetId="2" r:id="rId3"/>
    <sheet name="pohja_päästöt" sheetId="4" r:id="rId4"/>
    <sheet name="yhteenvet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8" i="2"/>
  <c r="F25" i="2"/>
  <c r="F24" i="2"/>
  <c r="F23" i="2"/>
  <c r="F22" i="2"/>
  <c r="F21" i="2"/>
  <c r="D19" i="2"/>
  <c r="F19" i="2"/>
  <c r="F17" i="2"/>
  <c r="F16" i="2"/>
  <c r="F15" i="2"/>
  <c r="F14" i="2"/>
  <c r="F12" i="2"/>
  <c r="F10" i="2"/>
  <c r="F9" i="2"/>
  <c r="F8" i="2"/>
  <c r="D19" i="4"/>
  <c r="M8" i="2" l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6" i="2"/>
  <c r="M37" i="2"/>
  <c r="M38" i="2"/>
  <c r="M39" i="2"/>
  <c r="M40" i="2"/>
  <c r="M41" i="2"/>
  <c r="D41" i="2" l="1"/>
  <c r="D40" i="2"/>
  <c r="D39" i="2"/>
  <c r="D38" i="2"/>
  <c r="D33" i="2"/>
  <c r="D35" i="2"/>
  <c r="M35" i="2" s="1"/>
  <c r="E20" i="4"/>
  <c r="E19" i="4"/>
  <c r="E18" i="4"/>
  <c r="E17" i="4"/>
  <c r="E16" i="4"/>
  <c r="E15" i="4"/>
  <c r="E14" i="4"/>
  <c r="E13" i="4"/>
  <c r="E12" i="4"/>
  <c r="E11" i="4"/>
  <c r="E10" i="4"/>
  <c r="E9" i="4"/>
  <c r="E7" i="4"/>
  <c r="E6" i="4"/>
  <c r="E5" i="4"/>
  <c r="E4" i="4"/>
  <c r="E3" i="4"/>
  <c r="D37" i="2"/>
  <c r="D36" i="2"/>
  <c r="H33" i="3"/>
  <c r="I18" i="3"/>
  <c r="I19" i="3"/>
  <c r="K19" i="3" s="1"/>
  <c r="I20" i="3"/>
  <c r="I21" i="3"/>
  <c r="K21" i="3" s="1"/>
  <c r="I22" i="3"/>
  <c r="K22" i="3" s="1"/>
  <c r="I17" i="3"/>
  <c r="K17" i="3" s="1"/>
  <c r="H17" i="3"/>
  <c r="H18" i="3"/>
  <c r="H19" i="3"/>
  <c r="H20" i="3"/>
  <c r="H21" i="3"/>
  <c r="H22" i="3"/>
  <c r="K18" i="3"/>
  <c r="K20" i="3"/>
  <c r="E28" i="3"/>
  <c r="E18" i="3"/>
  <c r="E15" i="3"/>
  <c r="E8" i="4" l="1"/>
  <c r="E19" i="3"/>
  <c r="E20" i="3" s="1"/>
  <c r="E2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tc={1F926467-6F1E-4E75-80BC-35A2A562613F}</author>
    <author>tc={99014D9E-D8CE-4377-843E-56EFBF878938}</author>
    <author>tc={C66FC4DE-59CB-4D2E-8F69-2B4ABCBBA90A}</author>
    <author>tc={D1715C55-425A-4FE9-8761-31ECF56B491B}</author>
    <author>tc={485351E1-7529-4F75-99D2-4917F0DFE44A}</author>
    <author>tc={49446C67-2F88-4D6E-AF26-3636D374EB64}</author>
    <author>tc={73AF08FB-045B-4C4B-8B8F-2E44C2E79A43}</author>
    <author>tc={1103502F-A892-46C3-AD2D-8166E731DC4D}</author>
  </authors>
  <commentList>
    <comment ref="D10" authorId="0" shapeId="0" xr:uid="{1F926467-6F1E-4E75-80BC-35A2A562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Kuvitteellinen luku ihkusta</t>
      </text>
    </comment>
    <comment ref="D12" authorId="1" shapeId="0" xr:uid="{99014D9E-D8CE-4377-843E-56EFBF878938}">
      <text>
        <t>[Threaded comment]
Your version of Excel allows you to read this threaded comment; however, any edits to it will get removed if the file is opened in a newer version of Excel. Learn more: https://go.microsoft.com/fwlink/?linkid=870924
Comment:
    Kuvitteellinen luku ihkusta</t>
      </text>
    </comment>
    <comment ref="D13" authorId="2" shapeId="0" xr:uid="{C66FC4DE-59CB-4D2E-8F69-2B4ABCBBA9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Kuvitteellinen luku ihkusta
</t>
      </text>
    </comment>
    <comment ref="D14" authorId="3" shapeId="0" xr:uid="{D1715C55-425A-4FE9-8761-31ECF56B491B}">
      <text>
        <t>[Threaded comment]
Your version of Excel allows you to read this threaded comment; however, any edits to it will get removed if the file is opened in a newer version of Excel. Learn more: https://go.microsoft.com/fwlink/?linkid=870924
Comment:
    Kuvitteellinen luku ihkusta</t>
      </text>
    </comment>
    <comment ref="D15" authorId="4" shapeId="0" xr:uid="{485351E1-7529-4F75-99D2-4917F0DF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Kuvitteellinen luku ihkusta</t>
      </text>
    </comment>
    <comment ref="D16" authorId="5" shapeId="0" xr:uid="{49446C67-2F88-4D6E-AF26-3636D374EB64}">
      <text>
        <t>[Threaded comment]
Your version of Excel allows you to read this threaded comment; however, any edits to it will get removed if the file is opened in a newer version of Excel. Learn more: https://go.microsoft.com/fwlink/?linkid=870924
Comment:
    Kuvitteellinen luku ihkusta</t>
      </text>
    </comment>
    <comment ref="D17" authorId="6" shapeId="0" xr:uid="{73AF08FB-045B-4C4B-8B8F-2E44C2E79A43}">
      <text>
        <t>[Threaded comment]
Your version of Excel allows you to read this threaded comment; however, any edits to it will get removed if the file is opened in a newer version of Excel. Learn more: https://go.microsoft.com/fwlink/?linkid=870924
Comment:
    Kuvitteellinen luku ihkusta</t>
      </text>
    </comment>
    <comment ref="H19" authorId="7" shapeId="0" xr:uid="{1103502F-A892-46C3-AD2D-8166E731DC4D}">
      <text>
        <t>[Threaded comment]
Your version of Excel allows you to read this threaded comment; however, any edits to it will get removed if the file is opened in a newer version of Excel. Learn more: https://go.microsoft.com/fwlink/?linkid=870924
Comment:
    Huom excel sivun pitäisi oikeasti olla päivittyvä, koska se on mahdollista?</t>
      </text>
    </comment>
  </commentList>
</comments>
</file>

<file path=xl/sharedStrings.xml><?xml version="1.0" encoding="utf-8"?>
<sst xmlns="http://schemas.openxmlformats.org/spreadsheetml/2006/main" count="725" uniqueCount="306">
  <si>
    <t>Pääluokka</t>
  </si>
  <si>
    <t>Kustannus/tulo</t>
  </si>
  <si>
    <t>Automatisoitu vai syöttö</t>
  </si>
  <si>
    <t>Mistä kustannus/tulo on haettu</t>
  </si>
  <si>
    <t>Tulevaisuuden kehitysidea</t>
  </si>
  <si>
    <t>Talonrakentaminen</t>
  </si>
  <si>
    <t>Esirakentaminen</t>
  </si>
  <si>
    <t>Syöttö</t>
  </si>
  <si>
    <t>Tieto kysytään KITIA:lta</t>
  </si>
  <si>
    <t>Maaperän kunnostaminen</t>
  </si>
  <si>
    <t>Rakenteiden muutokset ja purut</t>
  </si>
  <si>
    <t>Tieto kysytään KITIA:lta, käytetään kaavasuunnitelman kerrosalaa</t>
  </si>
  <si>
    <t>Palvelutilarakennusten rakentaminen</t>
  </si>
  <si>
    <t>Palvelutilarakennusten kunnossapito</t>
  </si>
  <si>
    <t>Infrarakentaminen</t>
  </si>
  <si>
    <t>Ihku-laskentapalvelussa laskettu</t>
  </si>
  <si>
    <t>Ihku-kehitys ja rajapinnan kehittäminen</t>
  </si>
  <si>
    <t>Melusuojat</t>
  </si>
  <si>
    <t>Ympäristösuojat</t>
  </si>
  <si>
    <t>Tie- ja katuverkon rakentaminen</t>
  </si>
  <si>
    <t>Kunnallistekniikan rakentaminen</t>
  </si>
  <si>
    <t>Vesihuolto</t>
  </si>
  <si>
    <t>Energiahuolto</t>
  </si>
  <si>
    <t>Puistojen ja yleisten alueiden rakentaminen</t>
  </si>
  <si>
    <t>Sillat (taitorakenteet)</t>
  </si>
  <si>
    <t>Raitiotie</t>
  </si>
  <si>
    <t>Raitiotieallianssilta</t>
  </si>
  <si>
    <t>Pysäköinti</t>
  </si>
  <si>
    <t>Pysäköinnin suunnitelmista</t>
  </si>
  <si>
    <t>Tie- ja katuverkon kunnossapito</t>
  </si>
  <si>
    <t>Kunnallistekniikan kunnossapito</t>
  </si>
  <si>
    <t>Puistojen ja yleisten alueiden kunnossapito</t>
  </si>
  <si>
    <t>Maanhankinta</t>
  </si>
  <si>
    <t>Maan osto</t>
  </si>
  <si>
    <t>Kaupungin maanhankintapäällikön konsultointi</t>
  </si>
  <si>
    <t>MML:n kansallinen kauppahintatilasto</t>
  </si>
  <si>
    <t>Maan lunastus</t>
  </si>
  <si>
    <t>Maan myynti tai vuokraus</t>
  </si>
  <si>
    <t>Maan myynti</t>
  </si>
  <si>
    <t>Vyöhykehinnastot (KITIA)</t>
  </si>
  <si>
    <t>Vyöhyketaulukot avoimesti kaupungilla sisällä saataviksi, jotta voidaan automatisoida</t>
  </si>
  <si>
    <t>Maan vuokraus</t>
  </si>
  <si>
    <t>Maankäyttötulot</t>
  </si>
  <si>
    <t>Maankäyttömaksut</t>
  </si>
  <si>
    <t>Verotulot</t>
  </si>
  <si>
    <t>Kunnallisvero</t>
  </si>
  <si>
    <t>Kiinteistövero</t>
  </si>
  <si>
    <t>Käyttömaksut</t>
  </si>
  <si>
    <t>Käyttömaksut, vesi</t>
  </si>
  <si>
    <t>Tampereen vesi, hinnasto (https://www.tampereenvesi.fi/hinnasto/?floor_area=100&amp;waste=1&amp;water=1&amp;usage=1%2C6#lomake-1)</t>
  </si>
  <si>
    <t>Vesilaitoyhdistyksen tilastotieto kuntien maksuista hyödynnettäväksi rakenteelliseen muotoon?</t>
  </si>
  <si>
    <t>Käyttömaksut, energia</t>
  </si>
  <si>
    <t>Liittymismaksut, vesi</t>
  </si>
  <si>
    <t>Tampereen vesi, liittymismaksulaskuri 2026</t>
  </si>
  <si>
    <t>Energiateollisuuden tilastotieto hinnastoista hyödynnettäväksi rakenteelliseen muotoon?</t>
  </si>
  <si>
    <t>Liittymismaksut, energia</t>
  </si>
  <si>
    <t>Tampereen energia, kaukolämmön hinnastot (https://www.tampereenenergia.fi/energiaratkaisut/hinnastot/#lahilampoliittymismaksut)</t>
  </si>
  <si>
    <t>Perustiedot</t>
  </si>
  <si>
    <t>Verotus</t>
  </si>
  <si>
    <t>Maan myynti ja vuokraus</t>
  </si>
  <si>
    <t>Päästöt</t>
  </si>
  <si>
    <t>Tyyppi</t>
  </si>
  <si>
    <t>%</t>
  </si>
  <si>
    <t>numero</t>
  </si>
  <si>
    <t>vyöhyke</t>
  </si>
  <si>
    <t>keskiarvohinta (€/k-m2)</t>
  </si>
  <si>
    <t>minimi (€/k-m2)</t>
  </si>
  <si>
    <t>maksimi (€/k-m2)</t>
  </si>
  <si>
    <t>Resource Id</t>
  </si>
  <si>
    <t>Version</t>
  </si>
  <si>
    <t>Name EN</t>
  </si>
  <si>
    <t>Name FI</t>
  </si>
  <si>
    <t>Name SV</t>
  </si>
  <si>
    <t>Property Unit Code</t>
  </si>
  <si>
    <t>GWP_A1-A3 Total</t>
  </si>
  <si>
    <t>GWP_A1-A3 fossil conservative</t>
  </si>
  <si>
    <t>GWP_B4</t>
  </si>
  <si>
    <t>GWP_C3</t>
  </si>
  <si>
    <t>GWP_C4</t>
  </si>
  <si>
    <t>Base Categories EN</t>
  </si>
  <si>
    <t>Base Categories FI</t>
  </si>
  <si>
    <t>Base Categories SV</t>
  </si>
  <si>
    <t>Updated Date</t>
  </si>
  <si>
    <t>CO2data URL</t>
  </si>
  <si>
    <t>Maapohjan yleinen kiinteistövero-%</t>
  </si>
  <si>
    <t>1. Keskusta</t>
  </si>
  <si>
    <t>1.01.006</t>
  </si>
  <si>
    <t>Office building, health center</t>
  </si>
  <si>
    <t>Toimistorakennus, terveyskeskus</t>
  </si>
  <si>
    <t>Kontorsbyggnader, hälsocentraler</t>
  </si>
  <si>
    <t>kg CO2e/m2</t>
  </si>
  <si>
    <t/>
  </si>
  <si>
    <t>Building services</t>
  </si>
  <si>
    <t>Talotekniikka</t>
  </si>
  <si>
    <t>Husteknik</t>
  </si>
  <si>
    <t>2025-06-04</t>
  </si>
  <si>
    <t>https://co2data.fi/rakentaminen/#en_id7000000917</t>
  </si>
  <si>
    <t>Rakennusten yleinen kiinteistövero-%</t>
  </si>
  <si>
    <t>2. Onkiniemi - Ranta-Tampella - Lapinniemi</t>
  </si>
  <si>
    <t>Commercial building</t>
  </si>
  <si>
    <t>Liikerakennus</t>
  </si>
  <si>
    <t>Affärsbyggnader</t>
  </si>
  <si>
    <t>https://co2data.fi/rakentaminen/#en_id7000000919</t>
  </si>
  <si>
    <t>Vakituisen asunnon kiinteistövero-%</t>
  </si>
  <si>
    <t>3. Ratina - Viinikanlahti</t>
  </si>
  <si>
    <t>Accommodation building</t>
  </si>
  <si>
    <t>Majoitusliikerakennus</t>
  </si>
  <si>
    <t>Inkvarteringsbyggnader</t>
  </si>
  <si>
    <t>https://co2data.fi/rakentaminen/#en_id7000000920</t>
  </si>
  <si>
    <t>Muun asuinrakennuksen kiinteistövero-%</t>
  </si>
  <si>
    <t>4. Pyynikki</t>
  </si>
  <si>
    <t>Education building, daycare centre</t>
  </si>
  <si>
    <t>Opetusrakennus, päiväkoti</t>
  </si>
  <si>
    <t>Undervisningsbyggnader, daghem</t>
  </si>
  <si>
    <t>https://co2data.fi/rakentaminen/#en_id7000000921</t>
  </si>
  <si>
    <t>Yleishyodyllisen yhteisön kiinteistövero-%</t>
  </si>
  <si>
    <t>5. Kaleva</t>
  </si>
  <si>
    <t>Apartment building</t>
  </si>
  <si>
    <t>Asuinkerrostalo</t>
  </si>
  <si>
    <t>Flervåningsbostadshus</t>
  </si>
  <si>
    <t>https://co2data.fi/rakentaminen/#en_id7000000922</t>
  </si>
  <si>
    <t>Rakentamattoman tontin kiinteistövero-%</t>
  </si>
  <si>
    <t>6. Villilä - Hiedanranta - Pispala - Santalahti</t>
  </si>
  <si>
    <t>Small apartment building</t>
  </si>
  <si>
    <t>Pieni asuinrakennus</t>
  </si>
  <si>
    <t>Små bostadshus</t>
  </si>
  <si>
    <t>https://co2data.fi/rakentaminen/#en_id7000001035</t>
  </si>
  <si>
    <t>Verkostomaksut</t>
  </si>
  <si>
    <t>Voimalaitosrakennuksen kiinteistövero-%</t>
  </si>
  <si>
    <t>7. Rahola - Lamminpää - Lielahti - Niemenranta</t>
  </si>
  <si>
    <t>Building for sports and physical exercise</t>
  </si>
  <si>
    <t>Liikuntahalli lukuun ottamatta uimahalliaja jäähallia</t>
  </si>
  <si>
    <t>Idrottshallar med undantag av simhallaroch ishallar</t>
  </si>
  <si>
    <t>https://co2data.fi/rakentaminen/#en_id7000001037</t>
  </si>
  <si>
    <t>8. Länsi-Tampere (Haukiluoma - Tesoma - Lentävänniemi)</t>
  </si>
  <si>
    <t>Hospital</t>
  </si>
  <si>
    <t>Sairaala</t>
  </si>
  <si>
    <t>Sjukhus</t>
  </si>
  <si>
    <t>https://co2data.fi/rakentaminen/#en_id7000001038</t>
  </si>
  <si>
    <t>Osapuoli</t>
  </si>
  <si>
    <t>Kiinteistöveron määrän laskukaava</t>
  </si>
  <si>
    <t>€</t>
  </si>
  <si>
    <t>9. Härmälänranta - Järvensivu</t>
  </si>
  <si>
    <t>Other building, warehouse</t>
  </si>
  <si>
    <t>Muu rakennus, varastorakennus</t>
  </si>
  <si>
    <t>Övriga byggnader, lagerbyggnader</t>
  </si>
  <si>
    <t>https://co2data.fi/rakentaminen/#en_id7000001087</t>
  </si>
  <si>
    <t>Tampereen kaupunki</t>
  </si>
  <si>
    <t>neliökohtainen arvo (vvm)</t>
  </si>
  <si>
    <t>10. Koivistonkylä - Pohjois-Hervanta - Pappila</t>
  </si>
  <si>
    <t>Other building, indoor ice rink</t>
  </si>
  <si>
    <t>Muu rakennus, jäähalli</t>
  </si>
  <si>
    <t>Övriga byggnader, ishallar</t>
  </si>
  <si>
    <t>https://co2data.fi/rakentaminen/#en_id7000001088</t>
  </si>
  <si>
    <t>Tampereen vesi</t>
  </si>
  <si>
    <t>neliöt</t>
  </si>
  <si>
    <t>11. Etelä-Tampere (Lahdesjärvi - Hervanta - Olkahinen)</t>
  </si>
  <si>
    <t>Other building, transport and communications building</t>
  </si>
  <si>
    <t>Muu rakennus, liikenteen rakennus</t>
  </si>
  <si>
    <t>Övriga byggnader, trafikbyggnader</t>
  </si>
  <si>
    <t>https://co2data.fi/rakentaminen/#en_id7000001089</t>
  </si>
  <si>
    <t>Tampereen energia</t>
  </si>
  <si>
    <t>jälleenhankinta-arvo</t>
  </si>
  <si>
    <t>Other building, indoor swimming pool</t>
  </si>
  <si>
    <t>Muu rakennus, uimahalli</t>
  </si>
  <si>
    <t>Övriga byggnader, simhallar</t>
  </si>
  <si>
    <t>https://co2data.fi/rakentaminen/#en_id7000001090</t>
  </si>
  <si>
    <t>Raitiotie-allianssi</t>
  </si>
  <si>
    <t>ikäalennusprosentti/v</t>
  </si>
  <si>
    <t>Vyöhyke</t>
  </si>
  <si>
    <t>Vyöhykenimi</t>
  </si>
  <si>
    <t>€ / k-m2</t>
  </si>
  <si>
    <t>Kerrosneliömetrit</t>
  </si>
  <si>
    <t>Tulo</t>
  </si>
  <si>
    <t>Muu</t>
  </si>
  <si>
    <t>rakennuksen ikä vuosina</t>
  </si>
  <si>
    <t>ikäalennus prosentteina</t>
  </si>
  <si>
    <t>ikäalennus euroina</t>
  </si>
  <si>
    <t>verotusarvo</t>
  </si>
  <si>
    <t>veroprosentti</t>
  </si>
  <si>
    <t>veron määrä euroina</t>
  </si>
  <si>
    <t>Luku</t>
  </si>
  <si>
    <t>VUOKRAUS tuotto-odotusta: arvio tulevasta arvonnoususta ja käyttötarkoituksesta</t>
  </si>
  <si>
    <t>Kunnallivero (%)</t>
  </si>
  <si>
    <t>Tarkoitus</t>
  </si>
  <si>
    <t>Prosentti</t>
  </si>
  <si>
    <t>Desimaali</t>
  </si>
  <si>
    <t>Mediaanitulo</t>
  </si>
  <si>
    <t>Asuminen</t>
  </si>
  <si>
    <t>Oletettu uusi asukasmäärä</t>
  </si>
  <si>
    <t>Muut</t>
  </si>
  <si>
    <t>Kunnallisvero euroina</t>
  </si>
  <si>
    <t>Tekijä</t>
  </si>
  <si>
    <t>Arvo</t>
  </si>
  <si>
    <t>Kiinteistöveron perusarvot ilman huomioita</t>
  </si>
  <si>
    <t>Uusi arvo</t>
  </si>
  <si>
    <t>Rakennustyyppi</t>
  </si>
  <si>
    <t>Neliökohtainen perusarvo</t>
  </si>
  <si>
    <t>Nykyinen arvo</t>
  </si>
  <si>
    <t>Pientalo</t>
  </si>
  <si>
    <t>Purkukustannukset</t>
  </si>
  <si>
    <t>Arvonnousu</t>
  </si>
  <si>
    <t>Vapaa-ajan asunto</t>
  </si>
  <si>
    <t>Talous- ja autotallirakennus</t>
  </si>
  <si>
    <t>Toimistorakennus</t>
  </si>
  <si>
    <t>Myymälärakennus</t>
  </si>
  <si>
    <t>Teollisuusrakennus</t>
  </si>
  <si>
    <t>Keskussairaalat</t>
  </si>
  <si>
    <t>Aluesairaalat</t>
  </si>
  <si>
    <t>Terveyskeskukset ja paikallissairaalat</t>
  </si>
  <si>
    <t>Kunnallis- ja vanhainkodit ym.</t>
  </si>
  <si>
    <t>Vankilat</t>
  </si>
  <si>
    <t>Peruskoulu- ja lukiorakennukset</t>
  </si>
  <si>
    <t>Ammattikoulut ym.</t>
  </si>
  <si>
    <t>Korkeakoulut ym.</t>
  </si>
  <si>
    <t>Teatteri-, konsertti- ja kongressirakennukset</t>
  </si>
  <si>
    <t>Kirjastot ym-</t>
  </si>
  <si>
    <t>Museot ja taidegalleriat</t>
  </si>
  <si>
    <t>Seurakuntatalot</t>
  </si>
  <si>
    <t>Nuorisotalot</t>
  </si>
  <si>
    <t>Uudenaikaiset kirkkorakennukset</t>
  </si>
  <si>
    <t>Puukirkot ym.</t>
  </si>
  <si>
    <t>Monitoimi- ja urheilutalot</t>
  </si>
  <si>
    <t>Stadion- ja katsomorakennukset</t>
  </si>
  <si>
    <t>Terminaalit</t>
  </si>
  <si>
    <t>Yli 10 000 brm2:n terminaalit</t>
  </si>
  <si>
    <t>Tietoliikennerakennukset</t>
  </si>
  <si>
    <t>Puurakenteiset kasarmirakennukset</t>
  </si>
  <si>
    <t>Muut kasarmirakennukset</t>
  </si>
  <si>
    <t>Puurakenteiset paloasemarakennukset</t>
  </si>
  <si>
    <t>Muut paloasemarakennukset</t>
  </si>
  <si>
    <t>Vesitornit, alle 750 vesi-m3</t>
  </si>
  <si>
    <t>Vesitornit, vähintään 740 vesi-m3</t>
  </si>
  <si>
    <t>Hanke:</t>
  </si>
  <si>
    <t>Esimerkkikaava 1</t>
  </si>
  <si>
    <t>Varaus</t>
  </si>
  <si>
    <t>Kerroin tai %</t>
  </si>
  <si>
    <t>Laatija:</t>
  </si>
  <si>
    <t>Esimerkki</t>
  </si>
  <si>
    <t>Päivämäärä:</t>
  </si>
  <si>
    <t>Sarakkeessa nyt olevat päästöarvot tulevat data-välilehden Päästöt-taulukosta, muokkaa arvot mieluiten suoraan sinne TAI täytä tässä tyhjiä soluja</t>
  </si>
  <si>
    <t>Alasvetovalikko, saa muokata</t>
  </si>
  <si>
    <t>YLÄKATEGORIA</t>
  </si>
  <si>
    <t>KATEGORIA</t>
  </si>
  <si>
    <t>OSATEKIJÄ</t>
  </si>
  <si>
    <t>VARAUKSET</t>
  </si>
  <si>
    <t>PÄÄSTÖT</t>
  </si>
  <si>
    <t>OSAPUOLI</t>
  </si>
  <si>
    <t>OHJEET ARVON NOUTOON</t>
  </si>
  <si>
    <t>OHJEET PÄÄSTÖARVON NOUTOON</t>
  </si>
  <si>
    <t>PÄÄOMA- VAI KÄYTTÖTALOUS</t>
  </si>
  <si>
    <t>KERTYMÄN VUODET</t>
  </si>
  <si>
    <t>KUSTANNUS/TULO</t>
  </si>
  <si>
    <t>KOONTI</t>
  </si>
  <si>
    <t>Tieto selvitetään KITIA:lta</t>
  </si>
  <si>
    <t>Pääomatalous</t>
  </si>
  <si>
    <t>Kustannus</t>
  </si>
  <si>
    <t>Kaavaillut rakennukset</t>
  </si>
  <si>
    <t>Uusi palvelutilarakennus</t>
  </si>
  <si>
    <t>Käyttötalous</t>
  </si>
  <si>
    <t>Massanvaihto</t>
  </si>
  <si>
    <t>Kustannus lasketaan Ihku-laskentapalvelussa</t>
  </si>
  <si>
    <t>Pilaantuneen maan poisto</t>
  </si>
  <si>
    <t>Putken purku</t>
  </si>
  <si>
    <t>Meluseinä</t>
  </si>
  <si>
    <t>Ympäristösuoja</t>
  </si>
  <si>
    <t>Alueellinen kokoojakatu</t>
  </si>
  <si>
    <t>Vesihuollon järjestelmä</t>
  </si>
  <si>
    <t>Kaukolämpöjärjestelmä</t>
  </si>
  <si>
    <t>Puistoaukio</t>
  </si>
  <si>
    <t>Aluevalaistus</t>
  </si>
  <si>
    <t>Alikulkukäytävä</t>
  </si>
  <si>
    <t>Kustannus saadaan Raitiotie-allianssilta</t>
  </si>
  <si>
    <t>Kustannus lasketaan pysäköintipolitiikan perusteella</t>
  </si>
  <si>
    <t>Tieto selvitetään KITIA:lta. Tieto perustuu vyöhykehinnastoihin.</t>
  </si>
  <si>
    <t>Tieto selvitetään KITIA:lta. Tieto perustuu arvioon tulevasta arvonnoususta ja maan käyttötarkoitukseen.</t>
  </si>
  <si>
    <t>Tieto selvitetään KITIA:lta. Maankäyttömaksujen tulee kattaa vähintään välittömät infran investointikustannukset.</t>
  </si>
  <si>
    <t>Tampereen vedeltä saadaan tulot hinnastoon perustuen.</t>
  </si>
  <si>
    <t>Tampereen energialta saadaan tulot hinnastoon perustuen.</t>
  </si>
  <si>
    <t>Päästöluokka</t>
  </si>
  <si>
    <t>Tarkennettu luokka</t>
  </si>
  <si>
    <t>Prosentti kokonaispäästöistä (%)</t>
  </si>
  <si>
    <t>Päästöjen saanti</t>
  </si>
  <si>
    <t>Muodostuminen</t>
  </si>
  <si>
    <t>Tekninen</t>
  </si>
  <si>
    <t>Rakentamiskelpoiseksi saattaminen</t>
  </si>
  <si>
    <t>Ihkusta (infra)</t>
  </si>
  <si>
    <t>Hankeosittain tai todennäköisemmin manuaalisesti poimitaan pääotsikon mukaan</t>
  </si>
  <si>
    <t>Esirakentaminen (talo)</t>
  </si>
  <si>
    <t>Syke CO2 ?</t>
  </si>
  <si>
    <t>Saadaanko KITIA:lta, huomioidaanko itsessään?</t>
  </si>
  <si>
    <t>Maaperän kunnostaminen (talo)</t>
  </si>
  <si>
    <t>Rakenteiden muutokset ja purut (talo)</t>
  </si>
  <si>
    <t>Johtosiirrot</t>
  </si>
  <si>
    <t>Katujen rakentaminen</t>
  </si>
  <si>
    <t>Ihkusta</t>
  </si>
  <si>
    <t>Puistojen rakentaminen</t>
  </si>
  <si>
    <t>Sillat</t>
  </si>
  <si>
    <t>Satama</t>
  </si>
  <si>
    <t>SYKE_Päästöt-sivulla mitään soveltuvaa? Liikennerakennus</t>
  </si>
  <si>
    <t>Julkisten palvelutilojen rakentaminen</t>
  </si>
  <si>
    <t>Syke CO2</t>
  </si>
  <si>
    <t>SYKE_Päästöt!G5</t>
  </si>
  <si>
    <t>KITIA:lta kysyttävää, lasketteko?</t>
  </si>
  <si>
    <t>Soutu- ja melontakeskus</t>
  </si>
  <si>
    <t>SYKE_Päästöt-sivulla mitään soveltuvaa? Urheiluhalli?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</si>
</sst>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2" fillId="0" borderId="0" xfId="0" applyFont="1"/>
    <xf numFmtId="0" fontId="0" fillId="3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1" fillId="2" borderId="0" xfId="1"/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5" borderId="1" xfId="0" applyFill="1" applyBorder="1" applyAlignment="1">
      <alignment horizontal="center" vertical="center"/>
    </xf>
    <xf numFmtId="0" fontId="0" fillId="5" borderId="9" xfId="0" applyFill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0" fillId="6" borderId="9" xfId="0" applyFill="1" applyBorder="1"/>
    <xf numFmtId="0" fontId="0" fillId="7" borderId="0" xfId="0" applyFill="1"/>
    <xf numFmtId="0" fontId="0" fillId="7" borderId="9" xfId="0" applyFill="1" applyBorder="1"/>
    <xf numFmtId="0" fontId="6" fillId="0" borderId="0" xfId="0" applyFont="1"/>
  </cellXfs>
  <cellStyles count="2">
    <cellStyle name="Good" xfId="1" builtinId="26"/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FF00"/>
        </patternFill>
      </fill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e-Mari Koivisto" id="{5E25036E-223B-4CC0-AD18-A6527C0BB6D5}" userId="S::anne-mari.koivisto@ramboll.fi::07e37b53-0d45-454e-a66e-1e246085a57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2293D3A-D86B-416E-A7EA-7DB734107079}" name="Taustatiedot" displayName="Taustatiedot" ref="B2:F35" totalsRowShown="0">
  <autoFilter ref="B2:F35" xr:uid="{22293D3A-D86B-416E-A7EA-7DB734107079}"/>
  <tableColumns count="5">
    <tableColumn id="1" xr3:uid="{3B485DCC-C5A2-422D-AC75-63FF7B9D4242}" name="Pääluokka" dataDxfId="31"/>
    <tableColumn id="2" xr3:uid="{16478B91-039F-415B-9848-C25E650D83AB}" name="Kustannus/tulo" dataDxfId="30"/>
    <tableColumn id="4" xr3:uid="{15878494-1E10-4DB1-A979-6B205FF6D2B6}" name="Automatisoitu vai syöttö"/>
    <tableColumn id="5" xr3:uid="{DD37CA94-FF63-4881-856D-2F3CA4A9FF64}" name="Mistä kustannus/tulo on haettu"/>
    <tableColumn id="6" xr3:uid="{A4866F4E-415B-4DF4-B8DE-6D14EAC29391}" name="Tulevaisuuden kehitysidea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C91BC-0D10-4F43-A74F-072A2CEE9FB7}" name="Pääluokat" displayName="Pääluokat" ref="B3:B10" totalsRowShown="0" headerRowDxfId="29" dataDxfId="28" tableBorderDxfId="27">
  <autoFilter ref="B3:B10" xr:uid="{BC6C91BC-0D10-4F43-A74F-072A2CEE9FB7}"/>
  <tableColumns count="1">
    <tableColumn id="1" xr3:uid="{1CE8264A-B06B-4CEF-B72E-15AD58204DAE}" name="Pääluokka" dataDxfId="2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43ED42-83D4-4912-9B4B-114EFD64C85A}" name="Osapuolet" displayName="Osapuolet" ref="B12:B17" totalsRowShown="0">
  <autoFilter ref="B12:B17" xr:uid="{3E43ED42-83D4-4912-9B4B-114EFD64C85A}"/>
  <tableColumns count="1">
    <tableColumn id="1" xr3:uid="{481E2F84-8495-49C7-83B8-B7A4B4A67F4A}" name="Osapuoli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ED16E3-B917-4162-8388-E19A77902BDF}" name="Tampereen_kiinteistövero_prosentit" displayName="Tampereen_kiinteistövero_prosentit" ref="D3:E10" totalsRowShown="0">
  <autoFilter ref="D3:E10" xr:uid="{A9ED16E3-B917-4162-8388-E19A77902BDF}"/>
  <tableColumns count="2">
    <tableColumn id="1" xr3:uid="{D639776C-2D9D-4581-906D-1A6A62163258}" name="Tyyppi"/>
    <tableColumn id="2" xr3:uid="{B609C3D9-C05A-43AE-9089-BF0E3958C661}" name="%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31305D-518B-464D-9682-D2A7CE8EA7F3}" name="Kiinteistöveron_määrä" displayName="Kiinteistöveron_määrä" ref="D12:E22" totalsRowShown="0">
  <autoFilter ref="D12:E22" xr:uid="{4E31305D-518B-464D-9682-D2A7CE8EA7F3}"/>
  <tableColumns count="2">
    <tableColumn id="1" xr3:uid="{ED0CF39B-4E0E-489F-9E75-B8EE9FD3D1AC}" name="Kiinteistöveron määrän laskukaava"/>
    <tableColumn id="2" xr3:uid="{C226BE6B-6571-432A-92B9-2E0AA3E8267A}" name="€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9E74FB-031B-426A-92FF-C4393776CFFC}" name="Kunnallisvero" displayName="Kunnallisvero" ref="D24:E28" totalsRowShown="0">
  <autoFilter ref="D24:E28" xr:uid="{3B9E74FB-031B-426A-92FF-C4393776CFFC}"/>
  <tableColumns count="2">
    <tableColumn id="1" xr3:uid="{D1BA0DD1-5031-4B21-BDCA-2CD99B2DB353}" name="Kunnallisvero" dataDxfId="25"/>
    <tableColumn id="2" xr3:uid="{6D459B3B-94E7-417A-865A-4E1F61DE20AA}" name="Luku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5DA548-19FC-4AC1-8664-1C7389F1E80E}" name="Kiinteistöveron_perusarvot" displayName="Kiinteistöveron_perusarvot" ref="D31:E64" totalsRowShown="0">
  <autoFilter ref="D31:E64" xr:uid="{115DA548-19FC-4AC1-8664-1C7389F1E80E}"/>
  <tableColumns count="2">
    <tableColumn id="1" xr3:uid="{A5798E66-14AF-47B7-9A9C-8E51A025A520}" name="Rakennustyyppi"/>
    <tableColumn id="2" xr3:uid="{0226350E-B7BB-44A5-91AC-6CE147041FD4}" name="Neliökohtainen perusarvo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D3F311-C45F-408A-8B8B-A7A8719B00C8}" name="Vyöhykehinnat_AK_AR" displayName="Vyöhykehinnat_AK_AR" ref="G3:K14" totalsRowShown="0">
  <autoFilter ref="G3:K14" xr:uid="{7CD3F311-C45F-408A-8B8B-A7A8719B00C8}"/>
  <tableColumns count="5">
    <tableColumn id="1" xr3:uid="{DCE89228-BD55-4109-ACD9-4DD15EA2A023}" name="numero"/>
    <tableColumn id="2" xr3:uid="{598BB0B6-DF59-4A1F-940C-94A23059AFCE}" name="vyöhyke"/>
    <tableColumn id="3" xr3:uid="{A1174E57-191B-45B8-93BB-36FBCE9F149A}" name="keskiarvohinta (€/k-m2)"/>
    <tableColumn id="4" xr3:uid="{B463D2E5-D320-452D-9EFA-2CD57FAE4C16}" name="minimi (€/k-m2)"/>
    <tableColumn id="5" xr3:uid="{8E64C404-169C-4DDA-ADA0-95A09357500D}" name="maksimi (€/k-m2)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743CC1-73AD-4579-9BC4-69FB1EBD2463}" name="Maanmyynnin_tulot_AKAR" displayName="Maanmyynnin_tulot_AKAR" ref="G16:K22" totalsRowShown="0" headerRowDxfId="24" headerRowBorderDxfId="22" tableBorderDxfId="23" totalsRowBorderDxfId="21">
  <autoFilter ref="G16:K22" xr:uid="{3B743CC1-73AD-4579-9BC4-69FB1EBD2463}"/>
  <tableColumns count="5">
    <tableColumn id="1" xr3:uid="{8EC3375C-DA63-48CA-8808-0ED83304C5E1}" name="Vyöhyke" dataDxfId="19" totalsRowDxfId="20"/>
    <tableColumn id="5" xr3:uid="{69237CDE-D0FA-4A61-BACE-6F008860D3E2}" name="Vyöhykenimi" dataDxfId="17" totalsRowDxfId="18">
      <calculatedColumnFormula>IF(G17=1,$H$4,IF(G17=2,$H$5,IF(G17=3,$H$6,IF(G17=4,$H$7,IF(G17=5,$H$8,IF(G17=6,$CH$9,IF(G17=7,$H$10,IF(G17=8,$H$11,IF(G17=9,$H$12,IF(G17=10,$H$13,IF(G17=11,$H$14,0)))))))))))</calculatedColumnFormula>
    </tableColumn>
    <tableColumn id="2" xr3:uid="{9DBAB9AA-82CA-4323-AC08-B5FEE0393868}" name="€ / k-m2" dataDxfId="15" totalsRowDxfId="16">
      <calculatedColumnFormula>IF(G17=1,900,IF(G17=2,1000,IF(G17=3,1000,IF(G17=4,1000,IF(G17=5,700,IF(G17=6,700,IF(G17=7,400,IF(G17=8,280,IF(G17=9,500,IF(G17=10,400,IF(G17=11,280,0)))))))))))</calculatedColumnFormula>
    </tableColumn>
    <tableColumn id="3" xr3:uid="{21DD1E27-F20E-4E79-B537-79199BDFEC10}" name="Kerrosneliömetrit" dataDxfId="13" totalsRowDxfId="14"/>
    <tableColumn id="4" xr3:uid="{B7A44C24-EB35-45B4-A903-534F32A29FF7}" name="Tulo" dataDxfId="11" totalsRowDxfId="12">
      <calculatedColumnFormula>J17*I17</calculatedColumnFormula>
    </tableColumn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41B5FF-C2B8-4DE5-998B-A3592E611A86}" name="Vuokraus_Prosentti" displayName="Vuokraus_Prosentti" ref="G25:I27" totalsRowShown="0">
  <autoFilter ref="G25:I27" xr:uid="{4C41B5FF-C2B8-4DE5-998B-A3592E611A86}"/>
  <tableColumns count="3">
    <tableColumn id="1" xr3:uid="{28D9E8F6-9290-4A05-A0D9-938E3F1F11E1}" name="Tarkoitus"/>
    <tableColumn id="2" xr3:uid="{B0C6DBB5-7DB6-4106-A01B-CE48E70268D4}" name="Prosentti"/>
    <tableColumn id="3" xr3:uid="{27E7AE64-0F0F-4FB2-B2D0-210FA432EF60}" name="Desimaali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1E4A84-742F-4DE9-8AE7-E229CA16F0A7}" name="Arvonnousu" displayName="Arvonnousu" ref="G29:H33" totalsRowShown="0">
  <autoFilter ref="G29:H33" xr:uid="{631E4A84-742F-4DE9-8AE7-E229CA16F0A7}"/>
  <tableColumns count="2">
    <tableColumn id="1" xr3:uid="{FA50B923-242A-4651-AE25-71AC2224EC45}" name="Tekijä"/>
    <tableColumn id="2" xr3:uid="{74D79209-92BB-4418-8DF1-620F3C508B6B}" name="Arvo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9253E0-AED2-49CB-8CC2-DEA7FD4AFE9C}" name="Syke_Päästöt" displayName="Syke_Päästöt" ref="M3:AB15" totalsRowShown="0" headerRowDxfId="10">
  <autoFilter ref="M3:AB15" xr:uid="{109253E0-AED2-49CB-8CC2-DEA7FD4AFE9C}"/>
  <tableColumns count="16">
    <tableColumn id="1" xr3:uid="{E328E962-8397-4B29-A561-ECA504CA72A6}" name="Resource Id"/>
    <tableColumn id="2" xr3:uid="{3894A79C-5BED-4A2B-881F-73DFF18FBCFB}" name="Version"/>
    <tableColumn id="3" xr3:uid="{1650A514-08A5-4891-9D1B-4699A23744CB}" name="Name EN"/>
    <tableColumn id="4" xr3:uid="{AA58A2D1-F5B4-4428-8745-B2B29ECD2D3E}" name="Name FI"/>
    <tableColumn id="5" xr3:uid="{92AF534A-A6C8-496E-94C5-A6EF1EF429F5}" name="Name SV"/>
    <tableColumn id="6" xr3:uid="{0FD42AE1-0E76-42CB-AC52-AB55CFFDFBC8}" name="Property Unit Code"/>
    <tableColumn id="7" xr3:uid="{1A404809-156A-44A4-A311-3441C48D0D21}" name="GWP_A1-A3 Total" dataCellStyle="Good"/>
    <tableColumn id="8" xr3:uid="{695941C0-73B2-4A71-8166-BBE6CA843505}" name="GWP_A1-A3 fossil conservative"/>
    <tableColumn id="9" xr3:uid="{A62E61B8-97DF-429B-A326-AD6CE20EB1EE}" name="GWP_B4"/>
    <tableColumn id="10" xr3:uid="{96ADB34F-120D-4889-9C5E-F1EF1125E826}" name="GWP_C3"/>
    <tableColumn id="11" xr3:uid="{E69198F2-C80E-48FD-B1BF-FD93BC07C52A}" name="GWP_C4"/>
    <tableColumn id="12" xr3:uid="{31CC5512-AEFD-4565-BB18-11B3039542CB}" name="Base Categories EN"/>
    <tableColumn id="13" xr3:uid="{839F1A52-FFC9-423F-A00D-D568DB5E1AB0}" name="Base Categories FI"/>
    <tableColumn id="14" xr3:uid="{ADDFB344-BB1B-46FA-B218-997F6C6D8664}" name="Base Categories SV"/>
    <tableColumn id="15" xr3:uid="{F88D015D-50B2-4B6E-A5D8-E6EB89E1AB9A}" name="Updated Date"/>
    <tableColumn id="16" xr3:uid="{F218C31F-70AC-42FC-95AC-A7A5C76D7440}" name="CO2data URL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F9F62A8-D126-4B71-92C8-A08ACBEC419B}" name="POC_Laskentapohja" displayName="POC_Laskentapohja" ref="A7:M41" totalsRowShown="0" headerRowDxfId="9">
  <autoFilter ref="A7:M41" xr:uid="{4F9F62A8-D126-4B71-92C8-A08ACBEC419B}"/>
  <tableColumns count="13">
    <tableColumn id="1" xr3:uid="{66C3BCBB-4F53-47ED-BB46-784F2E2AE118}" name="YLÄKATEGORIA" dataDxfId="8"/>
    <tableColumn id="2" xr3:uid="{0ACCA958-7B3B-415F-A980-91C9606B88E4}" name="KATEGORIA" dataDxfId="7"/>
    <tableColumn id="3" xr3:uid="{5D4633A9-4C82-46FB-B904-7A31BD7B5578}" name="OSATEKIJÄ" dataDxfId="6"/>
    <tableColumn id="4" xr3:uid="{70E38391-8F2E-4A23-911E-2FD0350CC77A}" name="€" dataDxfId="5">
      <calculatedColumnFormula array="1">data!E5*data!e</calculatedColumnFormula>
    </tableColumn>
    <tableColumn id="10" xr3:uid="{36A542B8-A53F-46A0-9334-1C4DFC12CAFB}" name="VARAUKSET" dataDxfId="4"/>
    <tableColumn id="5" xr3:uid="{6E231624-D1B7-4600-8A1C-FA91D60AF658}" name="PÄÄSTÖT"/>
    <tableColumn id="6" xr3:uid="{AA25FB77-8217-409A-A4FE-28A6CA7DA413}" name="OSAPUOLI"/>
    <tableColumn id="7" xr3:uid="{D3272AA3-BDA8-495F-ACE0-E917125923A1}" name="OHJEET ARVON NOUTOON" dataDxfId="3"/>
    <tableColumn id="9" xr3:uid="{144C9946-30D1-40CF-9539-198E9EB53325}" name="OHJEET PÄÄSTÖARVON NOUTOON"/>
    <tableColumn id="12" xr3:uid="{FCF21591-686D-4E57-816C-4C143BDB822D}" name="PÄÄOMA- VAI KÄYTTÖTALOUS"/>
    <tableColumn id="13" xr3:uid="{70651250-47AD-4484-B867-68EBBFEACD02}" name="KERTYMÄN VUODET" dataDxfId="2">
      <calculatedColumnFormula>IF(J8="Pääomatalous", "0", "Täytä vuodet")</calculatedColumnFormula>
    </tableColumn>
    <tableColumn id="8" xr3:uid="{C4FD4C81-B0BF-4BE0-81E1-C125226E22F6}" name="KUSTANNUS/TULO"/>
    <tableColumn id="11" xr3:uid="{70B8E77B-D697-4EE0-87FA-35CF8BEA6E8C}" name="KOONTI" dataDxfId="1">
      <calculatedColumnFormula>IF(L8="Kustannus", -1*D8, D8)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571A10D-471E-456C-89D8-1E8FE9AFEB85}" name="Varaukset" displayName="Varaukset" ref="D2:E3" totalsRowShown="0">
  <autoFilter ref="D2:E3" xr:uid="{1571A10D-471E-456C-89D8-1E8FE9AFEB85}"/>
  <tableColumns count="2">
    <tableColumn id="1" xr3:uid="{18C18087-EAEF-4879-963B-C1B9B9AA9FBB}" name="Varaus"/>
    <tableColumn id="2" xr3:uid="{73D986DA-DD6D-481B-8E76-5673B11ACB14}" name="Kerroin tai %">
      <calculatedColumnFormula>120/100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70ED1E-3907-42DB-BC7B-0F2F58144B92}" name="Päästöt" displayName="Päästöt" ref="B2:H20" totalsRowShown="0">
  <autoFilter ref="B2:H20" xr:uid="{5070ED1E-3907-42DB-BC7B-0F2F58144B92}"/>
  <tableColumns count="7">
    <tableColumn id="1" xr3:uid="{6AB1D801-9A32-4823-816C-5F4098209C72}" name="Päästöluokka"/>
    <tableColumn id="2" xr3:uid="{8377ECA0-A58D-44D1-A5E8-44B1A69CDDCB}" name="Tarkennettu luokka"/>
    <tableColumn id="3" xr3:uid="{BE4CFBA0-3535-49AE-9791-01E4314FEC35}" name="Päästöt"/>
    <tableColumn id="7" xr3:uid="{E3300561-75F3-4F73-9F17-77E0605DC698}" name="Prosentti kokonaispäästöistä (%)" dataDxfId="0">
      <calculatedColumnFormula>D3/SUM($D$3:$D$20)</calculatedColumnFormula>
    </tableColumn>
    <tableColumn id="4" xr3:uid="{1A150C86-A833-417A-B0C0-B38571A4F781}" name="Päästöjen saanti"/>
    <tableColumn id="5" xr3:uid="{05784E93-5711-4694-BB34-6358D3F7404C}" name="Muodostuminen"/>
    <tableColumn id="6" xr3:uid="{60849CB5-927C-4FA2-BAB0-29099B542973}" name="Teknine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ambøll_2021">
      <a:dk1>
        <a:srgbClr val="000000"/>
      </a:dk1>
      <a:lt1>
        <a:srgbClr val="FFFFFF"/>
      </a:lt1>
      <a:dk2>
        <a:srgbClr val="009DF0"/>
      </a:dk2>
      <a:lt2>
        <a:srgbClr val="273943"/>
      </a:lt2>
      <a:accent1>
        <a:srgbClr val="05326E"/>
      </a:accent1>
      <a:accent2>
        <a:srgbClr val="125A40"/>
      </a:accent2>
      <a:accent3>
        <a:srgbClr val="ADD095"/>
      </a:accent3>
      <a:accent4>
        <a:srgbClr val="62294B"/>
      </a:accent4>
      <a:accent5>
        <a:srgbClr val="FF8855"/>
      </a:accent5>
      <a:accent6>
        <a:srgbClr val="E3E1D8"/>
      </a:accent6>
      <a:hlink>
        <a:srgbClr val="009DF0"/>
      </a:hlink>
      <a:folHlink>
        <a:srgbClr val="CCEBF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6-02-12T08:37:36.34" personId="{5E25036E-223B-4CC0-AD18-A6527C0BB6D5}" id="{1F926467-6F1E-4E75-80BC-35A2A562613F}">
    <text>Kuvitteellinen luku ihkusta</text>
  </threadedComment>
  <threadedComment ref="D12" dT="2026-02-12T08:37:18.39" personId="{5E25036E-223B-4CC0-AD18-A6527C0BB6D5}" id="{99014D9E-D8CE-4377-843E-56EFBF878938}">
    <text>Kuvitteellinen luku ihkusta</text>
  </threadedComment>
  <threadedComment ref="D13" dT="2026-02-12T08:50:05.51" personId="{5E25036E-223B-4CC0-AD18-A6527C0BB6D5}" id="{C66FC4DE-59CB-4D2E-8F69-2B4ABCBBA90A}">
    <text xml:space="preserve">Kuvitteellinen luku ihkusta
</text>
  </threadedComment>
  <threadedComment ref="D14" dT="2026-02-12T08:50:14.28" personId="{5E25036E-223B-4CC0-AD18-A6527C0BB6D5}" id="{D1715C55-425A-4FE9-8761-31ECF56B491B}">
    <text>Kuvitteellinen luku ihkusta</text>
  </threadedComment>
  <threadedComment ref="D15" dT="2026-02-12T08:43:28.57" personId="{5E25036E-223B-4CC0-AD18-A6527C0BB6D5}" id="{485351E1-7529-4F75-99D2-4917F0DFE44A}">
    <text>Kuvitteellinen luku ihkusta</text>
  </threadedComment>
  <threadedComment ref="D16" dT="2026-02-12T08:43:38.36" personId="{5E25036E-223B-4CC0-AD18-A6527C0BB6D5}" id="{49446C67-2F88-4D6E-AF26-3636D374EB64}">
    <text>Kuvitteellinen luku ihkusta</text>
  </threadedComment>
  <threadedComment ref="D17" dT="2026-02-12T08:47:09.41" personId="{5E25036E-223B-4CC0-AD18-A6527C0BB6D5}" id="{73AF08FB-045B-4C4B-8B8F-2E44C2E79A43}">
    <text>Kuvitteellinen luku ihkusta</text>
  </threadedComment>
  <threadedComment ref="H19" dT="2026-02-11T13:04:35.87" personId="{5E25036E-223B-4CC0-AD18-A6527C0BB6D5}" id="{1103502F-A892-46C3-AD2D-8166E731DC4D}">
    <text>Huom excel sivun pitäisi oikeasti olla päivittyvä, koska se on mahdollista?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FB14-F39C-4852-8746-D032C4742C42}">
  <dimension ref="B2:F35"/>
  <sheetViews>
    <sheetView workbookViewId="0"/>
  </sheetViews>
  <sheetFormatPr defaultRowHeight="14.45"/>
  <cols>
    <col min="2" max="2" width="21" bestFit="1" customWidth="1"/>
    <col min="3" max="3" width="36" bestFit="1" customWidth="1"/>
    <col min="4" max="4" width="23.5703125" bestFit="1" customWidth="1"/>
    <col min="5" max="5" width="53.42578125" bestFit="1" customWidth="1"/>
    <col min="6" max="6" width="32.5703125" bestFit="1" customWidth="1"/>
  </cols>
  <sheetData>
    <row r="2" spans="2:6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>
      <c r="B3" s="18" t="s">
        <v>5</v>
      </c>
      <c r="C3" s="19" t="s">
        <v>6</v>
      </c>
      <c r="D3" t="s">
        <v>7</v>
      </c>
      <c r="E3" t="s">
        <v>8</v>
      </c>
    </row>
    <row r="4" spans="2:6">
      <c r="B4" s="18" t="s">
        <v>5</v>
      </c>
      <c r="C4" s="19" t="s">
        <v>9</v>
      </c>
      <c r="D4" t="s">
        <v>7</v>
      </c>
      <c r="E4" t="s">
        <v>8</v>
      </c>
    </row>
    <row r="5" spans="2:6">
      <c r="B5" s="18" t="s">
        <v>5</v>
      </c>
      <c r="C5" s="19" t="s">
        <v>10</v>
      </c>
      <c r="D5" t="s">
        <v>7</v>
      </c>
      <c r="E5" t="s">
        <v>8</v>
      </c>
    </row>
    <row r="6" spans="2:6">
      <c r="B6" s="18" t="s">
        <v>5</v>
      </c>
      <c r="C6" s="19" t="s">
        <v>5</v>
      </c>
      <c r="D6" t="s">
        <v>7</v>
      </c>
      <c r="E6" t="s">
        <v>11</v>
      </c>
    </row>
    <row r="7" spans="2:6">
      <c r="B7" s="18" t="s">
        <v>5</v>
      </c>
      <c r="C7" s="19" t="s">
        <v>12</v>
      </c>
      <c r="D7" t="s">
        <v>7</v>
      </c>
      <c r="E7" t="s">
        <v>8</v>
      </c>
    </row>
    <row r="8" spans="2:6">
      <c r="B8" s="18" t="s">
        <v>5</v>
      </c>
      <c r="C8" s="19" t="s">
        <v>13</v>
      </c>
      <c r="D8" t="s">
        <v>7</v>
      </c>
    </row>
    <row r="9" spans="2:6">
      <c r="B9" s="18" t="s">
        <v>14</v>
      </c>
      <c r="C9" s="19" t="s">
        <v>6</v>
      </c>
      <c r="D9" t="s">
        <v>7</v>
      </c>
      <c r="E9" t="s">
        <v>15</v>
      </c>
      <c r="F9" t="s">
        <v>16</v>
      </c>
    </row>
    <row r="10" spans="2:6">
      <c r="B10" s="18" t="s">
        <v>14</v>
      </c>
      <c r="C10" s="19" t="s">
        <v>9</v>
      </c>
      <c r="D10" t="s">
        <v>7</v>
      </c>
      <c r="E10" t="s">
        <v>15</v>
      </c>
      <c r="F10" t="s">
        <v>16</v>
      </c>
    </row>
    <row r="11" spans="2:6">
      <c r="B11" s="18" t="s">
        <v>14</v>
      </c>
      <c r="C11" s="19" t="s">
        <v>10</v>
      </c>
      <c r="D11" t="s">
        <v>7</v>
      </c>
      <c r="E11" t="s">
        <v>15</v>
      </c>
      <c r="F11" t="s">
        <v>16</v>
      </c>
    </row>
    <row r="12" spans="2:6">
      <c r="B12" s="18" t="s">
        <v>14</v>
      </c>
      <c r="C12" s="19" t="s">
        <v>17</v>
      </c>
      <c r="D12" t="s">
        <v>7</v>
      </c>
      <c r="E12" t="s">
        <v>15</v>
      </c>
      <c r="F12" t="s">
        <v>16</v>
      </c>
    </row>
    <row r="13" spans="2:6">
      <c r="B13" s="18" t="s">
        <v>14</v>
      </c>
      <c r="C13" s="19" t="s">
        <v>18</v>
      </c>
      <c r="D13" t="s">
        <v>7</v>
      </c>
      <c r="E13" t="s">
        <v>15</v>
      </c>
      <c r="F13" t="s">
        <v>16</v>
      </c>
    </row>
    <row r="14" spans="2:6">
      <c r="B14" s="18" t="s">
        <v>14</v>
      </c>
      <c r="C14" s="19" t="s">
        <v>19</v>
      </c>
      <c r="D14" t="s">
        <v>7</v>
      </c>
      <c r="E14" t="s">
        <v>15</v>
      </c>
      <c r="F14" t="s">
        <v>16</v>
      </c>
    </row>
    <row r="15" spans="2:6">
      <c r="B15" s="18" t="s">
        <v>14</v>
      </c>
      <c r="C15" s="19" t="s">
        <v>20</v>
      </c>
      <c r="D15" t="s">
        <v>7</v>
      </c>
      <c r="E15" t="s">
        <v>15</v>
      </c>
      <c r="F15" t="s">
        <v>16</v>
      </c>
    </row>
    <row r="16" spans="2:6">
      <c r="B16" s="18" t="s">
        <v>14</v>
      </c>
      <c r="C16" s="19" t="s">
        <v>21</v>
      </c>
      <c r="D16" t="s">
        <v>7</v>
      </c>
      <c r="E16" t="s">
        <v>15</v>
      </c>
      <c r="F16" t="s">
        <v>16</v>
      </c>
    </row>
    <row r="17" spans="2:6">
      <c r="B17" s="18" t="s">
        <v>14</v>
      </c>
      <c r="C17" s="19" t="s">
        <v>22</v>
      </c>
      <c r="D17" t="s">
        <v>7</v>
      </c>
      <c r="E17" t="s">
        <v>15</v>
      </c>
      <c r="F17" t="s">
        <v>16</v>
      </c>
    </row>
    <row r="18" spans="2:6">
      <c r="B18" s="18" t="s">
        <v>14</v>
      </c>
      <c r="C18" s="19" t="s">
        <v>23</v>
      </c>
      <c r="D18" t="s">
        <v>7</v>
      </c>
      <c r="E18" t="s">
        <v>15</v>
      </c>
      <c r="F18" t="s">
        <v>16</v>
      </c>
    </row>
    <row r="19" spans="2:6">
      <c r="B19" s="18" t="s">
        <v>14</v>
      </c>
      <c r="C19" s="19" t="s">
        <v>24</v>
      </c>
      <c r="D19" t="s">
        <v>7</v>
      </c>
      <c r="E19" t="s">
        <v>15</v>
      </c>
      <c r="F19" t="s">
        <v>16</v>
      </c>
    </row>
    <row r="20" spans="2:6">
      <c r="B20" s="18" t="s">
        <v>14</v>
      </c>
      <c r="C20" s="19" t="s">
        <v>25</v>
      </c>
      <c r="D20" t="s">
        <v>7</v>
      </c>
      <c r="E20" t="s">
        <v>26</v>
      </c>
      <c r="F20" t="s">
        <v>16</v>
      </c>
    </row>
    <row r="21" spans="2:6">
      <c r="B21" s="18" t="s">
        <v>14</v>
      </c>
      <c r="C21" s="19" t="s">
        <v>27</v>
      </c>
      <c r="D21" t="s">
        <v>7</v>
      </c>
      <c r="E21" t="s">
        <v>28</v>
      </c>
      <c r="F21" t="s">
        <v>16</v>
      </c>
    </row>
    <row r="22" spans="2:6">
      <c r="B22" s="18" t="s">
        <v>14</v>
      </c>
      <c r="C22" s="19" t="s">
        <v>29</v>
      </c>
      <c r="D22" t="s">
        <v>7</v>
      </c>
      <c r="F22" t="s">
        <v>16</v>
      </c>
    </row>
    <row r="23" spans="2:6">
      <c r="B23" s="18" t="s">
        <v>14</v>
      </c>
      <c r="C23" s="19" t="s">
        <v>30</v>
      </c>
      <c r="D23" t="s">
        <v>7</v>
      </c>
      <c r="F23" t="s">
        <v>16</v>
      </c>
    </row>
    <row r="24" spans="2:6">
      <c r="B24" s="18" t="s">
        <v>14</v>
      </c>
      <c r="C24" s="19" t="s">
        <v>31</v>
      </c>
      <c r="D24" t="s">
        <v>7</v>
      </c>
      <c r="F24" t="s">
        <v>16</v>
      </c>
    </row>
    <row r="25" spans="2:6">
      <c r="B25" s="18" t="s">
        <v>32</v>
      </c>
      <c r="C25" s="19" t="s">
        <v>33</v>
      </c>
      <c r="D25" t="s">
        <v>7</v>
      </c>
      <c r="E25" t="s">
        <v>34</v>
      </c>
      <c r="F25" t="s">
        <v>35</v>
      </c>
    </row>
    <row r="26" spans="2:6">
      <c r="B26" s="18" t="s">
        <v>32</v>
      </c>
      <c r="C26" s="19" t="s">
        <v>36</v>
      </c>
      <c r="D26" t="s">
        <v>7</v>
      </c>
      <c r="E26" t="s">
        <v>34</v>
      </c>
      <c r="F26" t="s">
        <v>35</v>
      </c>
    </row>
    <row r="27" spans="2:6">
      <c r="B27" s="18" t="s">
        <v>37</v>
      </c>
      <c r="C27" s="19" t="s">
        <v>38</v>
      </c>
      <c r="D27" t="s">
        <v>7</v>
      </c>
      <c r="E27" t="s">
        <v>39</v>
      </c>
      <c r="F27" t="s">
        <v>40</v>
      </c>
    </row>
    <row r="28" spans="2:6">
      <c r="B28" s="18" t="s">
        <v>37</v>
      </c>
      <c r="C28" s="19" t="s">
        <v>41</v>
      </c>
    </row>
    <row r="29" spans="2:6">
      <c r="B29" s="18" t="s">
        <v>42</v>
      </c>
      <c r="C29" s="19" t="s">
        <v>43</v>
      </c>
      <c r="D29" t="s">
        <v>7</v>
      </c>
      <c r="E29" t="s">
        <v>8</v>
      </c>
    </row>
    <row r="30" spans="2:6">
      <c r="B30" s="18" t="s">
        <v>44</v>
      </c>
      <c r="C30" s="19" t="s">
        <v>45</v>
      </c>
    </row>
    <row r="31" spans="2:6">
      <c r="B31" s="18" t="s">
        <v>44</v>
      </c>
      <c r="C31" s="19" t="s">
        <v>46</v>
      </c>
    </row>
    <row r="32" spans="2:6">
      <c r="B32" s="18" t="s">
        <v>47</v>
      </c>
      <c r="C32" s="19" t="s">
        <v>48</v>
      </c>
      <c r="D32" t="s">
        <v>7</v>
      </c>
      <c r="E32" t="s">
        <v>49</v>
      </c>
      <c r="F32" t="s">
        <v>50</v>
      </c>
    </row>
    <row r="33" spans="2:6">
      <c r="B33" s="18" t="s">
        <v>47</v>
      </c>
      <c r="C33" s="19" t="s">
        <v>51</v>
      </c>
      <c r="D33" t="s">
        <v>7</v>
      </c>
      <c r="F33" t="s">
        <v>50</v>
      </c>
    </row>
    <row r="34" spans="2:6">
      <c r="B34" s="18" t="s">
        <v>47</v>
      </c>
      <c r="C34" s="19" t="s">
        <v>52</v>
      </c>
      <c r="D34" t="s">
        <v>7</v>
      </c>
      <c r="E34" t="s">
        <v>53</v>
      </c>
      <c r="F34" t="s">
        <v>54</v>
      </c>
    </row>
    <row r="35" spans="2:6">
      <c r="B35" s="18" t="s">
        <v>47</v>
      </c>
      <c r="C35" s="19" t="s">
        <v>55</v>
      </c>
      <c r="D35" t="s">
        <v>7</v>
      </c>
      <c r="E35" t="s">
        <v>56</v>
      </c>
      <c r="F35" t="s">
        <v>54</v>
      </c>
    </row>
  </sheetData>
  <pageMargins left="0.7" right="0.7" top="0.75" bottom="0.75" header="0.3" footer="0.3"/>
  <headerFooter>
    <oddFooter>&amp;C_x000D_&amp;1#&amp;"Verdana"&amp;7&amp;K000000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27D3-7F08-4918-BED1-94F19A3225D4}">
  <dimension ref="B1:AB64"/>
  <sheetViews>
    <sheetView workbookViewId="0"/>
  </sheetViews>
  <sheetFormatPr defaultRowHeight="14.45"/>
  <cols>
    <col min="2" max="2" width="21" bestFit="1" customWidth="1"/>
    <col min="4" max="4" width="34.7109375" bestFit="1" customWidth="1"/>
    <col min="5" max="5" width="23.28515625" customWidth="1"/>
    <col min="7" max="7" width="9.5703125" bestFit="1" customWidth="1"/>
    <col min="8" max="8" width="47.7109375" bestFit="1" customWidth="1"/>
    <col min="9" max="9" width="23.28515625" bestFit="1" customWidth="1"/>
    <col min="10" max="10" width="17" bestFit="1" customWidth="1"/>
    <col min="11" max="11" width="18.28515625" bestFit="1" customWidth="1"/>
    <col min="16" max="16" width="42.42578125" bestFit="1" customWidth="1"/>
  </cols>
  <sheetData>
    <row r="1" spans="2:28">
      <c r="B1" s="5" t="s">
        <v>57</v>
      </c>
      <c r="D1" s="6" t="s">
        <v>58</v>
      </c>
      <c r="E1" s="7"/>
      <c r="G1" s="5" t="s">
        <v>59</v>
      </c>
      <c r="H1" s="9"/>
      <c r="I1" s="9"/>
      <c r="J1" s="9"/>
      <c r="K1" s="9"/>
      <c r="M1" s="6" t="s">
        <v>60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3" spans="2:28">
      <c r="B3" s="1" t="s">
        <v>0</v>
      </c>
      <c r="D3" t="s">
        <v>61</v>
      </c>
      <c r="E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M3" s="16" t="s">
        <v>68</v>
      </c>
      <c r="N3" s="16" t="s">
        <v>69</v>
      </c>
      <c r="O3" s="16" t="s">
        <v>70</v>
      </c>
      <c r="P3" s="16" t="s">
        <v>71</v>
      </c>
      <c r="Q3" s="16" t="s">
        <v>72</v>
      </c>
      <c r="R3" s="16" t="s">
        <v>73</v>
      </c>
      <c r="S3" s="16" t="s">
        <v>74</v>
      </c>
      <c r="T3" s="16" t="s">
        <v>75</v>
      </c>
      <c r="U3" s="16" t="s">
        <v>76</v>
      </c>
      <c r="V3" s="16" t="s">
        <v>77</v>
      </c>
      <c r="W3" s="16" t="s">
        <v>78</v>
      </c>
      <c r="X3" s="16" t="s">
        <v>79</v>
      </c>
      <c r="Y3" s="16" t="s">
        <v>80</v>
      </c>
      <c r="Z3" s="16" t="s">
        <v>81</v>
      </c>
      <c r="AA3" s="16" t="s">
        <v>82</v>
      </c>
      <c r="AB3" s="16" t="s">
        <v>83</v>
      </c>
    </row>
    <row r="4" spans="2:28">
      <c r="B4" s="2" t="s">
        <v>5</v>
      </c>
      <c r="D4" t="s">
        <v>84</v>
      </c>
      <c r="E4">
        <v>1.3</v>
      </c>
      <c r="G4">
        <v>1</v>
      </c>
      <c r="H4" t="s">
        <v>85</v>
      </c>
      <c r="I4">
        <v>900</v>
      </c>
      <c r="J4">
        <v>800</v>
      </c>
      <c r="K4">
        <v>1200</v>
      </c>
      <c r="M4">
        <v>7000000917</v>
      </c>
      <c r="N4" t="s">
        <v>86</v>
      </c>
      <c r="O4" t="s">
        <v>87</v>
      </c>
      <c r="P4" t="s">
        <v>88</v>
      </c>
      <c r="Q4" t="s">
        <v>89</v>
      </c>
      <c r="R4" t="s">
        <v>90</v>
      </c>
      <c r="S4" s="17">
        <v>110</v>
      </c>
      <c r="T4">
        <v>110</v>
      </c>
      <c r="U4">
        <v>97</v>
      </c>
      <c r="V4" t="s">
        <v>91</v>
      </c>
      <c r="W4" t="s">
        <v>91</v>
      </c>
      <c r="X4" t="s">
        <v>92</v>
      </c>
      <c r="Y4" t="s">
        <v>93</v>
      </c>
      <c r="Z4" t="s">
        <v>94</v>
      </c>
      <c r="AA4" t="s">
        <v>95</v>
      </c>
      <c r="AB4" t="s">
        <v>96</v>
      </c>
    </row>
    <row r="5" spans="2:28">
      <c r="B5" s="2" t="s">
        <v>14</v>
      </c>
      <c r="D5" t="s">
        <v>97</v>
      </c>
      <c r="E5">
        <v>1.25</v>
      </c>
      <c r="G5">
        <v>2</v>
      </c>
      <c r="H5" t="s">
        <v>98</v>
      </c>
      <c r="I5">
        <v>1000</v>
      </c>
      <c r="J5">
        <v>800</v>
      </c>
      <c r="K5">
        <v>1300</v>
      </c>
      <c r="M5">
        <v>7000000919</v>
      </c>
      <c r="N5" t="s">
        <v>86</v>
      </c>
      <c r="O5" t="s">
        <v>99</v>
      </c>
      <c r="P5" t="s">
        <v>100</v>
      </c>
      <c r="Q5" t="s">
        <v>101</v>
      </c>
      <c r="R5" t="s">
        <v>90</v>
      </c>
      <c r="S5" s="17">
        <v>130</v>
      </c>
      <c r="T5">
        <v>130</v>
      </c>
      <c r="U5">
        <v>119</v>
      </c>
      <c r="V5" t="s">
        <v>91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102</v>
      </c>
    </row>
    <row r="6" spans="2:28">
      <c r="B6" s="2" t="s">
        <v>32</v>
      </c>
      <c r="D6" t="s">
        <v>103</v>
      </c>
      <c r="E6">
        <v>0.65</v>
      </c>
      <c r="G6">
        <v>3</v>
      </c>
      <c r="H6" t="s">
        <v>104</v>
      </c>
      <c r="I6">
        <v>1000</v>
      </c>
      <c r="J6">
        <v>800</v>
      </c>
      <c r="K6">
        <v>1300</v>
      </c>
      <c r="M6">
        <v>7000000920</v>
      </c>
      <c r="N6" t="s">
        <v>86</v>
      </c>
      <c r="O6" t="s">
        <v>105</v>
      </c>
      <c r="P6" t="s">
        <v>106</v>
      </c>
      <c r="Q6" t="s">
        <v>107</v>
      </c>
      <c r="R6" t="s">
        <v>90</v>
      </c>
      <c r="S6" s="17">
        <v>134</v>
      </c>
      <c r="T6">
        <v>134</v>
      </c>
      <c r="U6">
        <v>88</v>
      </c>
      <c r="V6" t="s">
        <v>91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108</v>
      </c>
    </row>
    <row r="7" spans="2:28">
      <c r="B7" s="2" t="s">
        <v>37</v>
      </c>
      <c r="D7" t="s">
        <v>109</v>
      </c>
      <c r="E7">
        <v>1.1000000000000001</v>
      </c>
      <c r="G7">
        <v>4</v>
      </c>
      <c r="H7" t="s">
        <v>110</v>
      </c>
      <c r="I7">
        <v>1000</v>
      </c>
      <c r="J7">
        <v>800</v>
      </c>
      <c r="K7">
        <v>1300</v>
      </c>
      <c r="M7">
        <v>7000000921</v>
      </c>
      <c r="N7" t="s">
        <v>86</v>
      </c>
      <c r="O7" t="s">
        <v>111</v>
      </c>
      <c r="P7" s="17" t="s">
        <v>112</v>
      </c>
      <c r="Q7" t="s">
        <v>113</v>
      </c>
      <c r="R7" t="s">
        <v>90</v>
      </c>
      <c r="S7" s="17">
        <v>128</v>
      </c>
      <c r="T7">
        <v>128</v>
      </c>
      <c r="U7">
        <v>94</v>
      </c>
      <c r="V7" t="s">
        <v>91</v>
      </c>
      <c r="W7" t="s">
        <v>91</v>
      </c>
      <c r="X7" t="s">
        <v>92</v>
      </c>
      <c r="Y7" t="s">
        <v>93</v>
      </c>
      <c r="Z7" t="s">
        <v>94</v>
      </c>
      <c r="AA7" t="s">
        <v>95</v>
      </c>
      <c r="AB7" t="s">
        <v>114</v>
      </c>
    </row>
    <row r="8" spans="2:28">
      <c r="B8" s="2" t="s">
        <v>42</v>
      </c>
      <c r="D8" t="s">
        <v>115</v>
      </c>
      <c r="E8">
        <v>0.4</v>
      </c>
      <c r="G8">
        <v>5</v>
      </c>
      <c r="H8" t="s">
        <v>116</v>
      </c>
      <c r="I8">
        <v>700</v>
      </c>
      <c r="J8">
        <v>500</v>
      </c>
      <c r="K8">
        <v>1000</v>
      </c>
      <c r="M8">
        <v>7000000922</v>
      </c>
      <c r="N8" t="s">
        <v>86</v>
      </c>
      <c r="O8" t="s">
        <v>117</v>
      </c>
      <c r="P8" t="s">
        <v>118</v>
      </c>
      <c r="Q8" t="s">
        <v>119</v>
      </c>
      <c r="R8" t="s">
        <v>90</v>
      </c>
      <c r="S8" s="17">
        <v>61</v>
      </c>
      <c r="T8">
        <v>61</v>
      </c>
      <c r="U8">
        <v>13</v>
      </c>
      <c r="V8" t="s">
        <v>91</v>
      </c>
      <c r="W8" t="s">
        <v>91</v>
      </c>
      <c r="X8" t="s">
        <v>92</v>
      </c>
      <c r="Y8" t="s">
        <v>93</v>
      </c>
      <c r="Z8" t="s">
        <v>94</v>
      </c>
      <c r="AA8" t="s">
        <v>95</v>
      </c>
      <c r="AB8" t="s">
        <v>120</v>
      </c>
    </row>
    <row r="9" spans="2:28">
      <c r="B9" s="2" t="s">
        <v>44</v>
      </c>
      <c r="D9" t="s">
        <v>121</v>
      </c>
      <c r="E9">
        <v>5</v>
      </c>
      <c r="G9">
        <v>6</v>
      </c>
      <c r="H9" t="s">
        <v>122</v>
      </c>
      <c r="I9">
        <v>700</v>
      </c>
      <c r="J9">
        <v>500</v>
      </c>
      <c r="K9">
        <v>1000</v>
      </c>
      <c r="M9">
        <v>7000001035</v>
      </c>
      <c r="N9" t="s">
        <v>86</v>
      </c>
      <c r="O9" t="s">
        <v>123</v>
      </c>
      <c r="P9" t="s">
        <v>124</v>
      </c>
      <c r="Q9" t="s">
        <v>125</v>
      </c>
      <c r="R9" t="s">
        <v>90</v>
      </c>
      <c r="S9" s="17">
        <v>50</v>
      </c>
      <c r="T9">
        <v>50</v>
      </c>
      <c r="U9">
        <v>9</v>
      </c>
      <c r="V9" t="s">
        <v>91</v>
      </c>
      <c r="W9" t="s">
        <v>91</v>
      </c>
      <c r="X9" t="s">
        <v>92</v>
      </c>
      <c r="Y9" t="s">
        <v>93</v>
      </c>
      <c r="Z9" t="s">
        <v>94</v>
      </c>
      <c r="AA9" t="s">
        <v>95</v>
      </c>
      <c r="AB9" t="s">
        <v>126</v>
      </c>
    </row>
    <row r="10" spans="2:28">
      <c r="B10" s="3" t="s">
        <v>127</v>
      </c>
      <c r="D10" t="s">
        <v>128</v>
      </c>
      <c r="E10">
        <v>3</v>
      </c>
      <c r="G10">
        <v>7</v>
      </c>
      <c r="H10" t="s">
        <v>129</v>
      </c>
      <c r="I10">
        <v>400</v>
      </c>
      <c r="J10">
        <v>300</v>
      </c>
      <c r="K10">
        <v>500</v>
      </c>
      <c r="M10">
        <v>7000001037</v>
      </c>
      <c r="N10" t="s">
        <v>86</v>
      </c>
      <c r="O10" t="s">
        <v>130</v>
      </c>
      <c r="P10" t="s">
        <v>131</v>
      </c>
      <c r="Q10" t="s">
        <v>132</v>
      </c>
      <c r="R10" t="s">
        <v>90</v>
      </c>
      <c r="S10" s="17">
        <v>83</v>
      </c>
      <c r="T10">
        <v>83</v>
      </c>
      <c r="U10">
        <v>81</v>
      </c>
      <c r="V10" t="s">
        <v>91</v>
      </c>
      <c r="W10" t="s">
        <v>91</v>
      </c>
      <c r="X10" t="s">
        <v>92</v>
      </c>
      <c r="Y10" t="s">
        <v>93</v>
      </c>
      <c r="Z10" t="s">
        <v>94</v>
      </c>
      <c r="AA10" t="s">
        <v>95</v>
      </c>
      <c r="AB10" t="s">
        <v>133</v>
      </c>
    </row>
    <row r="11" spans="2:28">
      <c r="G11">
        <v>8</v>
      </c>
      <c r="H11" t="s">
        <v>134</v>
      </c>
      <c r="I11">
        <v>280</v>
      </c>
      <c r="J11">
        <v>250</v>
      </c>
      <c r="K11">
        <v>400</v>
      </c>
      <c r="M11">
        <v>7000001038</v>
      </c>
      <c r="N11" t="s">
        <v>86</v>
      </c>
      <c r="O11" t="s">
        <v>135</v>
      </c>
      <c r="P11" t="s">
        <v>136</v>
      </c>
      <c r="Q11" t="s">
        <v>137</v>
      </c>
      <c r="R11" t="s">
        <v>90</v>
      </c>
      <c r="S11" s="17">
        <v>120</v>
      </c>
      <c r="T11">
        <v>120</v>
      </c>
      <c r="U11">
        <v>70</v>
      </c>
      <c r="V11" t="s">
        <v>91</v>
      </c>
      <c r="W11" t="s">
        <v>91</v>
      </c>
      <c r="X11" t="s">
        <v>92</v>
      </c>
      <c r="Y11" t="s">
        <v>93</v>
      </c>
      <c r="Z11" t="s">
        <v>94</v>
      </c>
      <c r="AA11" t="s">
        <v>95</v>
      </c>
      <c r="AB11" t="s">
        <v>138</v>
      </c>
    </row>
    <row r="12" spans="2:28">
      <c r="B12" t="s">
        <v>139</v>
      </c>
      <c r="D12" t="s">
        <v>140</v>
      </c>
      <c r="E12" t="s">
        <v>141</v>
      </c>
      <c r="G12">
        <v>9</v>
      </c>
      <c r="H12" t="s">
        <v>142</v>
      </c>
      <c r="I12">
        <v>500</v>
      </c>
      <c r="J12">
        <v>300</v>
      </c>
      <c r="K12">
        <v>900</v>
      </c>
      <c r="M12">
        <v>7000001087</v>
      </c>
      <c r="N12" t="s">
        <v>86</v>
      </c>
      <c r="O12" t="s">
        <v>143</v>
      </c>
      <c r="P12" t="s">
        <v>144</v>
      </c>
      <c r="Q12" t="s">
        <v>145</v>
      </c>
      <c r="R12" t="s">
        <v>90</v>
      </c>
      <c r="S12" s="17">
        <v>84</v>
      </c>
      <c r="T12">
        <v>84</v>
      </c>
      <c r="U12">
        <v>66</v>
      </c>
      <c r="V12" t="s">
        <v>91</v>
      </c>
      <c r="W12" t="s">
        <v>91</v>
      </c>
      <c r="X12" t="s">
        <v>92</v>
      </c>
      <c r="Y12" t="s">
        <v>93</v>
      </c>
      <c r="Z12" t="s">
        <v>94</v>
      </c>
      <c r="AA12" t="s">
        <v>95</v>
      </c>
      <c r="AB12" t="s">
        <v>146</v>
      </c>
    </row>
    <row r="13" spans="2:28">
      <c r="B13" t="s">
        <v>147</v>
      </c>
      <c r="D13" t="s">
        <v>148</v>
      </c>
      <c r="E13">
        <v>691.62</v>
      </c>
      <c r="G13">
        <v>10</v>
      </c>
      <c r="H13" t="s">
        <v>149</v>
      </c>
      <c r="I13">
        <v>400</v>
      </c>
      <c r="J13">
        <v>300</v>
      </c>
      <c r="K13">
        <v>500</v>
      </c>
      <c r="M13">
        <v>7000001088</v>
      </c>
      <c r="N13" t="s">
        <v>86</v>
      </c>
      <c r="O13" t="s">
        <v>150</v>
      </c>
      <c r="P13" t="s">
        <v>151</v>
      </c>
      <c r="Q13" t="s">
        <v>152</v>
      </c>
      <c r="R13" t="s">
        <v>90</v>
      </c>
      <c r="S13" s="17">
        <v>72</v>
      </c>
      <c r="T13">
        <v>72</v>
      </c>
      <c r="U13">
        <v>74</v>
      </c>
      <c r="V13" t="s">
        <v>91</v>
      </c>
      <c r="W13" t="s">
        <v>91</v>
      </c>
      <c r="X13" t="s">
        <v>92</v>
      </c>
      <c r="Y13" t="s">
        <v>93</v>
      </c>
      <c r="Z13" t="s">
        <v>94</v>
      </c>
      <c r="AA13" t="s">
        <v>95</v>
      </c>
      <c r="AB13" t="s">
        <v>153</v>
      </c>
    </row>
    <row r="14" spans="2:28">
      <c r="B14" t="s">
        <v>154</v>
      </c>
      <c r="D14" t="s">
        <v>155</v>
      </c>
      <c r="E14">
        <v>150</v>
      </c>
      <c r="G14">
        <v>11</v>
      </c>
      <c r="H14" t="s">
        <v>156</v>
      </c>
      <c r="I14">
        <v>280</v>
      </c>
      <c r="J14">
        <v>250</v>
      </c>
      <c r="K14">
        <v>400</v>
      </c>
      <c r="M14">
        <v>7000001089</v>
      </c>
      <c r="N14" t="s">
        <v>86</v>
      </c>
      <c r="O14" t="s">
        <v>157</v>
      </c>
      <c r="P14" t="s">
        <v>158</v>
      </c>
      <c r="Q14" t="s">
        <v>159</v>
      </c>
      <c r="R14" t="s">
        <v>90</v>
      </c>
      <c r="S14" s="17">
        <v>109</v>
      </c>
      <c r="T14">
        <v>109</v>
      </c>
      <c r="U14">
        <v>83</v>
      </c>
      <c r="V14" t="s">
        <v>91</v>
      </c>
      <c r="W14" t="s">
        <v>91</v>
      </c>
      <c r="X14" t="s">
        <v>92</v>
      </c>
      <c r="Y14" t="s">
        <v>93</v>
      </c>
      <c r="Z14" t="s">
        <v>94</v>
      </c>
      <c r="AA14" t="s">
        <v>95</v>
      </c>
      <c r="AB14" t="s">
        <v>160</v>
      </c>
    </row>
    <row r="15" spans="2:28">
      <c r="B15" t="s">
        <v>161</v>
      </c>
      <c r="D15" t="s">
        <v>162</v>
      </c>
      <c r="E15">
        <f>E14*E13</f>
        <v>103743</v>
      </c>
      <c r="M15">
        <v>7000001090</v>
      </c>
      <c r="N15" t="s">
        <v>86</v>
      </c>
      <c r="O15" t="s">
        <v>163</v>
      </c>
      <c r="P15" t="s">
        <v>164</v>
      </c>
      <c r="Q15" t="s">
        <v>165</v>
      </c>
      <c r="R15" t="s">
        <v>90</v>
      </c>
      <c r="S15" s="17">
        <v>103</v>
      </c>
      <c r="T15">
        <v>103</v>
      </c>
      <c r="U15">
        <v>76</v>
      </c>
      <c r="V15" t="s">
        <v>91</v>
      </c>
      <c r="W15" t="s">
        <v>91</v>
      </c>
      <c r="X15" t="s">
        <v>92</v>
      </c>
      <c r="Y15" t="s">
        <v>93</v>
      </c>
      <c r="Z15" t="s">
        <v>94</v>
      </c>
      <c r="AA15" t="s">
        <v>95</v>
      </c>
      <c r="AB15" t="s">
        <v>166</v>
      </c>
    </row>
    <row r="16" spans="2:28">
      <c r="B16" t="s">
        <v>167</v>
      </c>
      <c r="D16" t="s">
        <v>168</v>
      </c>
      <c r="E16">
        <v>1.25</v>
      </c>
      <c r="G16" s="10" t="s">
        <v>169</v>
      </c>
      <c r="H16" s="10" t="s">
        <v>170</v>
      </c>
      <c r="I16" s="11" t="s">
        <v>171</v>
      </c>
      <c r="J16" s="11" t="s">
        <v>172</v>
      </c>
      <c r="K16" s="12" t="s">
        <v>173</v>
      </c>
    </row>
    <row r="17" spans="2:11">
      <c r="B17" t="s">
        <v>174</v>
      </c>
      <c r="D17" t="s">
        <v>175</v>
      </c>
      <c r="E17">
        <v>26</v>
      </c>
      <c r="G17" s="13">
        <v>4</v>
      </c>
      <c r="H17" s="13" t="str">
        <f t="shared" ref="H17:H22" si="0">IF(G17=1,$H$4,IF(G17=2,$H$5,IF(G17=3,$H$6,IF(G17=4,$H$7,IF(G17=5,$H$8,IF(G17=6,$CH$9,IF(G17=7,$H$10,IF(G17=8,$H$11,IF(G17=9,$H$12,IF(G17=10,$H$13,IF(G17=11,$H$14,0)))))))))))</f>
        <v>4. Pyynikki</v>
      </c>
      <c r="I17" s="14">
        <f>IF(G17=1,900,IF(G17=2,1000,IF(G17=3,1000,IF(G17=4,1000,IF(G17=5,700,IF(G17=6,700,IF(G17=7,400,IF(G17=8,280,IF(G17=9,500,IF(G17=10,400,IF(G17=11,280,0)))))))))))</f>
        <v>1000</v>
      </c>
      <c r="J17" s="14">
        <v>300</v>
      </c>
      <c r="K17" s="15">
        <f>J17*I17</f>
        <v>300000</v>
      </c>
    </row>
    <row r="18" spans="2:11">
      <c r="D18" t="s">
        <v>176</v>
      </c>
      <c r="E18">
        <f>E17*E16</f>
        <v>32.5</v>
      </c>
      <c r="G18" s="13">
        <v>3</v>
      </c>
      <c r="H18" s="13" t="str">
        <f t="shared" si="0"/>
        <v>3. Ratina - Viinikanlahti</v>
      </c>
      <c r="I18" s="14">
        <f t="shared" ref="I18:I22" si="1">IF(G18=1,900,IF(G18=2,1000,IF(G18=3,1000,IF(G18=4,1000,IF(G18=5,700,IF(G18=6,700,IF(G18=7,400,IF(G18=8,280,IF(G18=9,500,IF(G18=10,400,IF(G18=11,280,0)))))))))))</f>
        <v>1000</v>
      </c>
      <c r="J18" s="14">
        <v>250</v>
      </c>
      <c r="K18" s="15">
        <f t="shared" ref="K18:K22" si="2">J18*I18</f>
        <v>250000</v>
      </c>
    </row>
    <row r="19" spans="2:11">
      <c r="D19" t="s">
        <v>177</v>
      </c>
      <c r="E19">
        <f>E18*(E15/100)</f>
        <v>33716.474999999999</v>
      </c>
      <c r="G19" s="13">
        <v>5</v>
      </c>
      <c r="H19" s="13" t="str">
        <f t="shared" si="0"/>
        <v>5. Kaleva</v>
      </c>
      <c r="I19" s="14">
        <f t="shared" si="1"/>
        <v>700</v>
      </c>
      <c r="J19" s="14">
        <v>500</v>
      </c>
      <c r="K19" s="15">
        <f t="shared" si="2"/>
        <v>350000</v>
      </c>
    </row>
    <row r="20" spans="2:11">
      <c r="D20" t="s">
        <v>178</v>
      </c>
      <c r="E20">
        <f>E15-E19</f>
        <v>70026.524999999994</v>
      </c>
      <c r="G20" s="13">
        <v>2</v>
      </c>
      <c r="H20" s="13" t="str">
        <f t="shared" si="0"/>
        <v>2. Onkiniemi - Ranta-Tampella - Lapinniemi</v>
      </c>
      <c r="I20" s="14">
        <f t="shared" si="1"/>
        <v>1000</v>
      </c>
      <c r="J20" s="14">
        <v>200</v>
      </c>
      <c r="K20" s="15">
        <f t="shared" si="2"/>
        <v>200000</v>
      </c>
    </row>
    <row r="21" spans="2:11">
      <c r="D21" t="s">
        <v>179</v>
      </c>
      <c r="E21">
        <v>1.25</v>
      </c>
      <c r="G21" s="13">
        <v>4</v>
      </c>
      <c r="H21" s="13" t="str">
        <f t="shared" si="0"/>
        <v>4. Pyynikki</v>
      </c>
      <c r="I21" s="14">
        <f t="shared" si="1"/>
        <v>1000</v>
      </c>
      <c r="J21" s="14">
        <v>700</v>
      </c>
      <c r="K21" s="15">
        <f t="shared" si="2"/>
        <v>700000</v>
      </c>
    </row>
    <row r="22" spans="2:11">
      <c r="D22" t="s">
        <v>180</v>
      </c>
      <c r="E22">
        <f>E20*(E21/100)</f>
        <v>875.33156250000002</v>
      </c>
      <c r="G22" s="13">
        <v>4</v>
      </c>
      <c r="H22" s="13" t="str">
        <f t="shared" si="0"/>
        <v>4. Pyynikki</v>
      </c>
      <c r="I22" s="14">
        <f t="shared" si="1"/>
        <v>1000</v>
      </c>
      <c r="J22" s="14">
        <v>500</v>
      </c>
      <c r="K22" s="15">
        <f t="shared" si="2"/>
        <v>500000</v>
      </c>
    </row>
    <row r="24" spans="2:11">
      <c r="D24" s="8" t="s">
        <v>45</v>
      </c>
      <c r="E24" t="s">
        <v>181</v>
      </c>
      <c r="G24" s="4" t="s">
        <v>182</v>
      </c>
    </row>
    <row r="25" spans="2:11">
      <c r="D25" t="s">
        <v>183</v>
      </c>
      <c r="E25">
        <v>7.6</v>
      </c>
      <c r="G25" t="s">
        <v>184</v>
      </c>
      <c r="H25" t="s">
        <v>185</v>
      </c>
      <c r="I25" t="s">
        <v>186</v>
      </c>
    </row>
    <row r="26" spans="2:11">
      <c r="D26" t="s">
        <v>187</v>
      </c>
      <c r="E26">
        <v>30000</v>
      </c>
      <c r="G26" t="s">
        <v>188</v>
      </c>
      <c r="H26">
        <v>4</v>
      </c>
      <c r="I26">
        <v>0.04</v>
      </c>
    </row>
    <row r="27" spans="2:11">
      <c r="D27" t="s">
        <v>189</v>
      </c>
      <c r="E27">
        <v>1000</v>
      </c>
      <c r="G27" t="s">
        <v>190</v>
      </c>
      <c r="H27">
        <v>6</v>
      </c>
      <c r="I27">
        <v>0.06</v>
      </c>
    </row>
    <row r="28" spans="2:11">
      <c r="D28" t="s">
        <v>191</v>
      </c>
      <c r="E28">
        <f>(E25/100)*E26*E27</f>
        <v>2280000</v>
      </c>
    </row>
    <row r="29" spans="2:11">
      <c r="G29" t="s">
        <v>192</v>
      </c>
      <c r="H29" t="s">
        <v>193</v>
      </c>
    </row>
    <row r="30" spans="2:11">
      <c r="D30" t="s">
        <v>194</v>
      </c>
      <c r="E30" t="s">
        <v>141</v>
      </c>
      <c r="G30" t="s">
        <v>195</v>
      </c>
      <c r="H30">
        <v>11</v>
      </c>
    </row>
    <row r="31" spans="2:11">
      <c r="D31" t="s">
        <v>196</v>
      </c>
      <c r="E31" t="s">
        <v>197</v>
      </c>
      <c r="G31" t="s">
        <v>198</v>
      </c>
      <c r="H31">
        <v>9</v>
      </c>
    </row>
    <row r="32" spans="2:11">
      <c r="D32" t="s">
        <v>199</v>
      </c>
      <c r="E32">
        <v>769.04</v>
      </c>
      <c r="G32" t="s">
        <v>200</v>
      </c>
      <c r="H32">
        <v>2</v>
      </c>
    </row>
    <row r="33" spans="4:8">
      <c r="D33" t="s">
        <v>118</v>
      </c>
      <c r="E33">
        <v>769.04</v>
      </c>
      <c r="G33" t="s">
        <v>201</v>
      </c>
      <c r="H33">
        <f>$K$5-$K$6-(0.4*$K$7)</f>
        <v>-520</v>
      </c>
    </row>
    <row r="34" spans="4:8">
      <c r="D34" t="s">
        <v>202</v>
      </c>
      <c r="E34">
        <v>613.52</v>
      </c>
    </row>
    <row r="35" spans="4:8">
      <c r="D35" t="s">
        <v>203</v>
      </c>
      <c r="E35">
        <v>501.18</v>
      </c>
    </row>
    <row r="36" spans="4:8">
      <c r="D36" t="s">
        <v>204</v>
      </c>
      <c r="E36">
        <v>1065.71</v>
      </c>
    </row>
    <row r="37" spans="4:8">
      <c r="D37" t="s">
        <v>205</v>
      </c>
      <c r="E37">
        <v>328.36</v>
      </c>
    </row>
    <row r="38" spans="4:8">
      <c r="D38" t="s">
        <v>206</v>
      </c>
      <c r="E38">
        <v>128.13999999999999</v>
      </c>
    </row>
    <row r="39" spans="4:8">
      <c r="D39" t="s">
        <v>207</v>
      </c>
      <c r="E39">
        <v>1595.71</v>
      </c>
    </row>
    <row r="40" spans="4:8">
      <c r="D40" t="s">
        <v>208</v>
      </c>
      <c r="E40">
        <v>1284.6300000000001</v>
      </c>
    </row>
    <row r="41" spans="4:8">
      <c r="D41" t="s">
        <v>209</v>
      </c>
      <c r="E41">
        <v>1189.54</v>
      </c>
    </row>
    <row r="42" spans="4:8">
      <c r="D42" t="s">
        <v>210</v>
      </c>
      <c r="E42">
        <v>1045.54</v>
      </c>
    </row>
    <row r="43" spans="4:8">
      <c r="D43" t="s">
        <v>211</v>
      </c>
      <c r="E43">
        <v>273.63</v>
      </c>
    </row>
    <row r="44" spans="4:8">
      <c r="D44" t="s">
        <v>212</v>
      </c>
      <c r="E44">
        <v>1155.02</v>
      </c>
    </row>
    <row r="45" spans="4:8">
      <c r="D45" t="s">
        <v>213</v>
      </c>
      <c r="E45">
        <v>1080.0999999999999</v>
      </c>
    </row>
    <row r="46" spans="4:8">
      <c r="D46" t="s">
        <v>214</v>
      </c>
      <c r="E46">
        <v>1189.54</v>
      </c>
    </row>
    <row r="47" spans="4:8">
      <c r="D47" t="s">
        <v>215</v>
      </c>
      <c r="E47">
        <v>1356.64</v>
      </c>
    </row>
    <row r="48" spans="4:8">
      <c r="D48" t="s">
        <v>216</v>
      </c>
      <c r="E48">
        <v>1022.53</v>
      </c>
    </row>
    <row r="49" spans="4:5">
      <c r="D49" t="s">
        <v>217</v>
      </c>
      <c r="E49">
        <v>953.56</v>
      </c>
    </row>
    <row r="50" spans="4:5">
      <c r="D50" t="s">
        <v>218</v>
      </c>
      <c r="E50">
        <v>1189.54</v>
      </c>
    </row>
    <row r="51" spans="4:5">
      <c r="D51" t="s">
        <v>219</v>
      </c>
      <c r="E51">
        <v>1080.0999999999999</v>
      </c>
    </row>
    <row r="52" spans="4:5">
      <c r="D52" t="s">
        <v>220</v>
      </c>
      <c r="E52">
        <v>1719.53</v>
      </c>
    </row>
    <row r="53" spans="4:5">
      <c r="D53" t="s">
        <v>221</v>
      </c>
      <c r="E53">
        <v>299.58</v>
      </c>
    </row>
    <row r="54" spans="4:5">
      <c r="D54" t="s">
        <v>222</v>
      </c>
      <c r="E54">
        <v>1045.54</v>
      </c>
    </row>
    <row r="55" spans="4:5">
      <c r="D55" t="s">
        <v>223</v>
      </c>
      <c r="E55">
        <v>1019.66</v>
      </c>
    </row>
    <row r="56" spans="4:5">
      <c r="D56" t="s">
        <v>224</v>
      </c>
      <c r="E56">
        <v>1241.46</v>
      </c>
    </row>
    <row r="57" spans="4:5">
      <c r="D57" t="s">
        <v>225</v>
      </c>
      <c r="E57">
        <v>1757.02</v>
      </c>
    </row>
    <row r="58" spans="4:5">
      <c r="D58" t="s">
        <v>226</v>
      </c>
      <c r="E58">
        <v>751.79</v>
      </c>
    </row>
    <row r="59" spans="4:5">
      <c r="D59" t="s">
        <v>227</v>
      </c>
      <c r="E59">
        <v>645.19000000000005</v>
      </c>
    </row>
    <row r="60" spans="4:5">
      <c r="D60" t="s">
        <v>228</v>
      </c>
      <c r="E60">
        <v>800.73</v>
      </c>
    </row>
    <row r="61" spans="4:5">
      <c r="D61" t="s">
        <v>229</v>
      </c>
      <c r="E61">
        <v>913.09</v>
      </c>
    </row>
    <row r="62" spans="4:5">
      <c r="D62" t="s">
        <v>230</v>
      </c>
      <c r="E62">
        <v>1019.64</v>
      </c>
    </row>
    <row r="63" spans="4:5">
      <c r="D63" t="s">
        <v>231</v>
      </c>
      <c r="E63">
        <v>913.09</v>
      </c>
    </row>
    <row r="64" spans="4:5">
      <c r="D64" t="s">
        <v>232</v>
      </c>
      <c r="E64">
        <v>685.52</v>
      </c>
    </row>
  </sheetData>
  <dataValidations count="1">
    <dataValidation type="list" allowBlank="1" showInputMessage="1" showErrorMessage="1" sqref="G17:G22" xr:uid="{F7D43822-E35D-4562-85A4-F3AEC6548965}">
      <formula1>$G$4:$G$14</formula1>
    </dataValidation>
  </dataValidation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365D-3720-4546-917D-9D1BD62463C3}">
  <dimension ref="A2:M41"/>
  <sheetViews>
    <sheetView tabSelected="1" workbookViewId="0">
      <selection activeCell="E4" sqref="E4"/>
    </sheetView>
  </sheetViews>
  <sheetFormatPr defaultRowHeight="14.45" customHeight="1"/>
  <cols>
    <col min="1" max="1" width="28.140625" customWidth="1"/>
    <col min="2" max="2" width="36" bestFit="1" customWidth="1"/>
    <col min="3" max="6" width="16.5703125" customWidth="1"/>
    <col min="7" max="7" width="17.85546875" bestFit="1" customWidth="1"/>
    <col min="8" max="8" width="24.5703125" style="23" customWidth="1"/>
    <col min="9" max="9" width="24.5703125" customWidth="1"/>
    <col min="10" max="10" width="27.85546875" bestFit="1" customWidth="1"/>
    <col min="11" max="11" width="19.5703125" bestFit="1" customWidth="1"/>
    <col min="12" max="12" width="18.28515625" customWidth="1"/>
  </cols>
  <sheetData>
    <row r="2" spans="1:13" ht="14.45" customHeight="1">
      <c r="A2" s="8" t="s">
        <v>233</v>
      </c>
      <c r="B2" s="25" t="s">
        <v>234</v>
      </c>
      <c r="D2" t="s">
        <v>235</v>
      </c>
      <c r="E2" t="s">
        <v>236</v>
      </c>
    </row>
    <row r="3" spans="1:13" ht="14.45" customHeight="1">
      <c r="A3" s="8" t="s">
        <v>237</v>
      </c>
      <c r="B3" s="25" t="s">
        <v>238</v>
      </c>
      <c r="D3" t="s">
        <v>238</v>
      </c>
      <c r="E3">
        <f>120/100</f>
        <v>1.2</v>
      </c>
    </row>
    <row r="4" spans="1:13" ht="14.45" customHeight="1">
      <c r="A4" s="8" t="s">
        <v>239</v>
      </c>
      <c r="B4" s="24">
        <v>46073</v>
      </c>
    </row>
    <row r="6" spans="1:13" ht="14.45" customHeight="1">
      <c r="D6" s="26"/>
      <c r="E6" s="26"/>
      <c r="F6" s="31" t="s">
        <v>240</v>
      </c>
      <c r="G6" t="s">
        <v>241</v>
      </c>
      <c r="J6" t="s">
        <v>241</v>
      </c>
    </row>
    <row r="7" spans="1:13" s="8" customFormat="1" ht="14.45" customHeight="1">
      <c r="A7" s="8" t="s">
        <v>242</v>
      </c>
      <c r="B7" s="8" t="s">
        <v>243</v>
      </c>
      <c r="C7" s="8" t="s">
        <v>244</v>
      </c>
      <c r="D7" s="8" t="s">
        <v>141</v>
      </c>
      <c r="E7" s="8" t="s">
        <v>245</v>
      </c>
      <c r="F7" s="8" t="s">
        <v>246</v>
      </c>
      <c r="G7" s="8" t="s">
        <v>247</v>
      </c>
      <c r="H7" s="22" t="s">
        <v>248</v>
      </c>
      <c r="I7" s="8" t="s">
        <v>249</v>
      </c>
      <c r="J7" s="8" t="s">
        <v>250</v>
      </c>
      <c r="K7" s="8" t="s">
        <v>251</v>
      </c>
      <c r="L7" s="8" t="s">
        <v>252</v>
      </c>
      <c r="M7" s="8" t="s">
        <v>253</v>
      </c>
    </row>
    <row r="8" spans="1:13" ht="14.45" customHeight="1">
      <c r="A8" s="20" t="s">
        <v>5</v>
      </c>
      <c r="B8" s="21" t="s">
        <v>6</v>
      </c>
      <c r="C8" s="29"/>
      <c r="D8" s="29">
        <v>0</v>
      </c>
      <c r="E8" s="29">
        <f>$E$3*D8</f>
        <v>0</v>
      </c>
      <c r="F8">
        <f>pohja_päästöt!D4</f>
        <v>7000</v>
      </c>
      <c r="G8" t="s">
        <v>147</v>
      </c>
      <c r="H8" s="23" t="s">
        <v>254</v>
      </c>
      <c r="J8" t="s">
        <v>255</v>
      </c>
      <c r="K8" s="29"/>
      <c r="L8" t="s">
        <v>256</v>
      </c>
      <c r="M8">
        <f t="shared" ref="M8:M41" si="0">IF(L8="Kustannus", -1*D8, D8)</f>
        <v>0</v>
      </c>
    </row>
    <row r="9" spans="1:13" ht="14.45" customHeight="1">
      <c r="A9" s="18" t="s">
        <v>5</v>
      </c>
      <c r="B9" s="19" t="s">
        <v>9</v>
      </c>
      <c r="C9" s="29"/>
      <c r="D9" s="29">
        <v>0</v>
      </c>
      <c r="E9" s="29"/>
      <c r="F9">
        <f>pohja_päästöt!D6</f>
        <v>10000</v>
      </c>
      <c r="G9" t="s">
        <v>147</v>
      </c>
      <c r="H9" s="23" t="s">
        <v>254</v>
      </c>
      <c r="J9" t="s">
        <v>255</v>
      </c>
      <c r="K9" s="29"/>
      <c r="L9" t="s">
        <v>256</v>
      </c>
      <c r="M9">
        <f t="shared" si="0"/>
        <v>0</v>
      </c>
    </row>
    <row r="10" spans="1:13" ht="14.45" customHeight="1">
      <c r="A10" s="20" t="s">
        <v>5</v>
      </c>
      <c r="B10" s="21" t="s">
        <v>10</v>
      </c>
      <c r="C10" s="29"/>
      <c r="D10" s="29">
        <v>0</v>
      </c>
      <c r="E10" s="29"/>
      <c r="F10">
        <f>pohja_päästöt!D8</f>
        <v>0</v>
      </c>
      <c r="G10" t="s">
        <v>147</v>
      </c>
      <c r="H10" s="23" t="s">
        <v>254</v>
      </c>
      <c r="J10" t="s">
        <v>255</v>
      </c>
      <c r="K10" s="29"/>
      <c r="L10" t="s">
        <v>256</v>
      </c>
      <c r="M10">
        <f t="shared" si="0"/>
        <v>0</v>
      </c>
    </row>
    <row r="11" spans="1:13" ht="14.45" customHeight="1">
      <c r="A11" s="18" t="s">
        <v>5</v>
      </c>
      <c r="B11" s="19" t="s">
        <v>5</v>
      </c>
      <c r="C11" s="29" t="s">
        <v>257</v>
      </c>
      <c r="D11" s="29">
        <v>2300000</v>
      </c>
      <c r="E11" s="29"/>
      <c r="G11" t="s">
        <v>147</v>
      </c>
      <c r="H11" s="23" t="s">
        <v>254</v>
      </c>
      <c r="J11" t="s">
        <v>255</v>
      </c>
      <c r="K11" s="29"/>
      <c r="L11" t="s">
        <v>256</v>
      </c>
      <c r="M11">
        <f t="shared" si="0"/>
        <v>-2300000</v>
      </c>
    </row>
    <row r="12" spans="1:13" ht="14.45" customHeight="1">
      <c r="A12" s="20" t="s">
        <v>5</v>
      </c>
      <c r="B12" s="21" t="s">
        <v>12</v>
      </c>
      <c r="C12" s="29" t="s">
        <v>258</v>
      </c>
      <c r="D12" s="29">
        <v>1000000</v>
      </c>
      <c r="E12" s="29"/>
      <c r="F12">
        <f>pohja_päästöt!D19</f>
        <v>128000</v>
      </c>
      <c r="G12" t="s">
        <v>147</v>
      </c>
      <c r="H12" s="23" t="s">
        <v>254</v>
      </c>
      <c r="J12" t="s">
        <v>255</v>
      </c>
      <c r="K12" s="29"/>
      <c r="L12" t="s">
        <v>256</v>
      </c>
      <c r="M12">
        <f t="shared" si="0"/>
        <v>-1000000</v>
      </c>
    </row>
    <row r="13" spans="1:13" ht="14.45" customHeight="1">
      <c r="A13" s="18" t="s">
        <v>5</v>
      </c>
      <c r="B13" s="19" t="s">
        <v>13</v>
      </c>
      <c r="C13" s="29"/>
      <c r="D13" s="30">
        <v>1200000</v>
      </c>
      <c r="E13" s="29"/>
      <c r="G13" t="s">
        <v>147</v>
      </c>
      <c r="H13" s="23" t="s">
        <v>254</v>
      </c>
      <c r="J13" t="s">
        <v>259</v>
      </c>
      <c r="K13" s="29">
        <v>10</v>
      </c>
      <c r="L13" t="s">
        <v>256</v>
      </c>
      <c r="M13">
        <f t="shared" si="0"/>
        <v>-1200000</v>
      </c>
    </row>
    <row r="14" spans="1:13" ht="14.45" customHeight="1">
      <c r="A14" s="20" t="s">
        <v>14</v>
      </c>
      <c r="B14" s="21" t="s">
        <v>6</v>
      </c>
      <c r="C14" s="29" t="s">
        <v>260</v>
      </c>
      <c r="D14" s="30">
        <v>270000</v>
      </c>
      <c r="E14" s="29"/>
      <c r="F14">
        <f>pohja_päästöt!D3</f>
        <v>138000</v>
      </c>
      <c r="G14" t="s">
        <v>147</v>
      </c>
      <c r="H14" s="23" t="s">
        <v>261</v>
      </c>
      <c r="J14" t="s">
        <v>255</v>
      </c>
      <c r="K14" s="29"/>
      <c r="L14" t="s">
        <v>256</v>
      </c>
      <c r="M14">
        <f t="shared" si="0"/>
        <v>-270000</v>
      </c>
    </row>
    <row r="15" spans="1:13" ht="14.45" customHeight="1">
      <c r="A15" s="18" t="s">
        <v>14</v>
      </c>
      <c r="B15" s="19" t="s">
        <v>9</v>
      </c>
      <c r="C15" s="29" t="s">
        <v>262</v>
      </c>
      <c r="D15" s="30">
        <v>400000</v>
      </c>
      <c r="E15" s="29"/>
      <c r="F15">
        <f>pohja_päästöt!D5</f>
        <v>10000</v>
      </c>
      <c r="G15" t="s">
        <v>147</v>
      </c>
      <c r="H15" s="23" t="s">
        <v>261</v>
      </c>
      <c r="J15" t="s">
        <v>255</v>
      </c>
      <c r="K15" s="29"/>
      <c r="L15" t="s">
        <v>256</v>
      </c>
      <c r="M15">
        <f t="shared" si="0"/>
        <v>-400000</v>
      </c>
    </row>
    <row r="16" spans="1:13" ht="14.45" customHeight="1">
      <c r="A16" s="20" t="s">
        <v>14</v>
      </c>
      <c r="B16" s="21" t="s">
        <v>10</v>
      </c>
      <c r="C16" s="29" t="s">
        <v>263</v>
      </c>
      <c r="D16" s="30">
        <v>7000</v>
      </c>
      <c r="E16" s="29"/>
      <c r="F16">
        <f>pohja_päästöt!D7</f>
        <v>2000</v>
      </c>
      <c r="G16" t="s">
        <v>147</v>
      </c>
      <c r="H16" s="23" t="s">
        <v>261</v>
      </c>
      <c r="J16" t="s">
        <v>255</v>
      </c>
      <c r="K16" s="29"/>
      <c r="L16" t="s">
        <v>256</v>
      </c>
      <c r="M16">
        <f t="shared" si="0"/>
        <v>-7000</v>
      </c>
    </row>
    <row r="17" spans="1:13" ht="14.45" customHeight="1">
      <c r="A17" s="18" t="s">
        <v>14</v>
      </c>
      <c r="B17" s="19" t="s">
        <v>17</v>
      </c>
      <c r="C17" s="29" t="s">
        <v>264</v>
      </c>
      <c r="D17" s="30">
        <v>27000</v>
      </c>
      <c r="E17" s="29"/>
      <c r="F17">
        <f>pohja_päästöt!D10</f>
        <v>138000</v>
      </c>
      <c r="G17" t="s">
        <v>147</v>
      </c>
      <c r="H17" s="23" t="s">
        <v>261</v>
      </c>
      <c r="J17" t="s">
        <v>255</v>
      </c>
      <c r="K17" s="29"/>
      <c r="L17" t="s">
        <v>256</v>
      </c>
      <c r="M17">
        <f t="shared" si="0"/>
        <v>-27000</v>
      </c>
    </row>
    <row r="18" spans="1:13" ht="14.45" customHeight="1">
      <c r="A18" s="20" t="s">
        <v>14</v>
      </c>
      <c r="B18" s="21" t="s">
        <v>18</v>
      </c>
      <c r="C18" s="29" t="s">
        <v>265</v>
      </c>
      <c r="D18" s="30">
        <v>20000</v>
      </c>
      <c r="E18" s="29"/>
      <c r="G18" t="s">
        <v>147</v>
      </c>
      <c r="H18" s="23" t="s">
        <v>261</v>
      </c>
      <c r="J18" t="s">
        <v>255</v>
      </c>
      <c r="K18" s="29"/>
      <c r="L18" t="s">
        <v>256</v>
      </c>
      <c r="M18">
        <f t="shared" si="0"/>
        <v>-20000</v>
      </c>
    </row>
    <row r="19" spans="1:13" ht="14.45" customHeight="1">
      <c r="A19" s="18" t="s">
        <v>14</v>
      </c>
      <c r="B19" s="19" t="s">
        <v>19</v>
      </c>
      <c r="C19" s="29" t="s">
        <v>266</v>
      </c>
      <c r="D19" s="30">
        <f>96000</f>
        <v>96000</v>
      </c>
      <c r="E19" s="29"/>
      <c r="F19">
        <f>pohja_päästöt!D12</f>
        <v>237000</v>
      </c>
      <c r="G19" t="s">
        <v>147</v>
      </c>
      <c r="H19" s="23" t="s">
        <v>261</v>
      </c>
      <c r="J19" t="s">
        <v>255</v>
      </c>
      <c r="K19" s="29"/>
      <c r="L19" t="s">
        <v>256</v>
      </c>
      <c r="M19">
        <f t="shared" si="0"/>
        <v>-96000</v>
      </c>
    </row>
    <row r="20" spans="1:13" ht="14.45" customHeight="1">
      <c r="A20" s="20" t="s">
        <v>14</v>
      </c>
      <c r="B20" s="21" t="s">
        <v>20</v>
      </c>
      <c r="C20" s="29"/>
      <c r="D20" s="30"/>
      <c r="E20" s="29"/>
      <c r="G20" t="s">
        <v>147</v>
      </c>
      <c r="H20" s="23" t="s">
        <v>261</v>
      </c>
      <c r="J20" t="s">
        <v>255</v>
      </c>
      <c r="K20" s="29"/>
      <c r="L20" t="s">
        <v>256</v>
      </c>
      <c r="M20">
        <f t="shared" si="0"/>
        <v>0</v>
      </c>
    </row>
    <row r="21" spans="1:13" ht="14.45" customHeight="1">
      <c r="A21" s="18" t="s">
        <v>14</v>
      </c>
      <c r="B21" s="19" t="s">
        <v>21</v>
      </c>
      <c r="C21" s="29" t="s">
        <v>267</v>
      </c>
      <c r="D21" s="29">
        <v>170000</v>
      </c>
      <c r="E21" s="29"/>
      <c r="F21">
        <f>pohja_päästöt!D15</f>
        <v>37000</v>
      </c>
      <c r="G21" t="s">
        <v>154</v>
      </c>
      <c r="H21" s="23" t="s">
        <v>261</v>
      </c>
      <c r="J21" t="s">
        <v>255</v>
      </c>
      <c r="K21" s="29"/>
      <c r="L21" t="s">
        <v>256</v>
      </c>
      <c r="M21">
        <f t="shared" si="0"/>
        <v>-170000</v>
      </c>
    </row>
    <row r="22" spans="1:13" ht="14.45" customHeight="1">
      <c r="A22" s="20" t="s">
        <v>14</v>
      </c>
      <c r="B22" s="21" t="s">
        <v>22</v>
      </c>
      <c r="C22" s="29" t="s">
        <v>268</v>
      </c>
      <c r="D22" s="29">
        <v>55800</v>
      </c>
      <c r="E22" s="29"/>
      <c r="F22">
        <f>pohja_päästöt!D16</f>
        <v>7000</v>
      </c>
      <c r="G22" t="s">
        <v>161</v>
      </c>
      <c r="H22" s="23" t="s">
        <v>261</v>
      </c>
      <c r="J22" t="s">
        <v>255</v>
      </c>
      <c r="K22" s="29"/>
      <c r="L22" t="s">
        <v>256</v>
      </c>
      <c r="M22">
        <f t="shared" si="0"/>
        <v>-55800</v>
      </c>
    </row>
    <row r="23" spans="1:13" ht="14.45" customHeight="1">
      <c r="A23" s="18" t="s">
        <v>14</v>
      </c>
      <c r="B23" s="19" t="s">
        <v>23</v>
      </c>
      <c r="C23" s="29" t="s">
        <v>269</v>
      </c>
      <c r="D23" s="29">
        <v>364800</v>
      </c>
      <c r="E23" s="29"/>
      <c r="F23">
        <f>pohja_päästöt!D13</f>
        <v>115000</v>
      </c>
      <c r="G23" t="s">
        <v>147</v>
      </c>
      <c r="H23" s="23" t="s">
        <v>261</v>
      </c>
      <c r="J23" t="s">
        <v>255</v>
      </c>
      <c r="K23" s="29"/>
      <c r="L23" t="s">
        <v>256</v>
      </c>
      <c r="M23">
        <f t="shared" si="0"/>
        <v>-364800</v>
      </c>
    </row>
    <row r="24" spans="1:13" ht="14.45" customHeight="1">
      <c r="A24" s="20" t="s">
        <v>14</v>
      </c>
      <c r="B24" s="21" t="s">
        <v>23</v>
      </c>
      <c r="C24" s="29" t="s">
        <v>270</v>
      </c>
      <c r="D24" s="29">
        <v>200000</v>
      </c>
      <c r="E24" s="29"/>
      <c r="F24">
        <f>pohja_päästöt!D14</f>
        <v>38000</v>
      </c>
      <c r="G24" t="s">
        <v>147</v>
      </c>
      <c r="H24" s="23" t="s">
        <v>261</v>
      </c>
      <c r="J24" t="s">
        <v>255</v>
      </c>
      <c r="K24" s="29"/>
      <c r="L24" t="s">
        <v>256</v>
      </c>
      <c r="M24">
        <f t="shared" si="0"/>
        <v>-200000</v>
      </c>
    </row>
    <row r="25" spans="1:13" ht="14.45" customHeight="1">
      <c r="A25" s="27" t="s">
        <v>14</v>
      </c>
      <c r="B25" s="28" t="s">
        <v>24</v>
      </c>
      <c r="C25" s="29" t="s">
        <v>271</v>
      </c>
      <c r="D25" s="29">
        <v>159000</v>
      </c>
      <c r="E25" s="29"/>
      <c r="F25">
        <f>pohja_päästöt!D17</f>
        <v>89000</v>
      </c>
      <c r="G25" t="s">
        <v>147</v>
      </c>
      <c r="H25" s="23" t="s">
        <v>261</v>
      </c>
      <c r="J25" t="s">
        <v>255</v>
      </c>
      <c r="K25" s="29"/>
      <c r="L25" t="s">
        <v>256</v>
      </c>
      <c r="M25">
        <f t="shared" si="0"/>
        <v>-159000</v>
      </c>
    </row>
    <row r="26" spans="1:13" ht="14.45" customHeight="1">
      <c r="A26" s="18" t="s">
        <v>14</v>
      </c>
      <c r="B26" s="19" t="s">
        <v>25</v>
      </c>
      <c r="C26" s="29"/>
      <c r="D26" s="29"/>
      <c r="E26" s="29"/>
      <c r="G26" t="s">
        <v>167</v>
      </c>
      <c r="H26" s="23" t="s">
        <v>272</v>
      </c>
      <c r="J26" t="s">
        <v>255</v>
      </c>
      <c r="K26" s="29"/>
      <c r="L26" t="s">
        <v>256</v>
      </c>
      <c r="M26">
        <f t="shared" si="0"/>
        <v>0</v>
      </c>
    </row>
    <row r="27" spans="1:13" ht="14.45" customHeight="1">
      <c r="A27" s="27" t="s">
        <v>14</v>
      </c>
      <c r="B27" s="28" t="s">
        <v>27</v>
      </c>
      <c r="C27" s="29"/>
      <c r="D27" s="29">
        <v>40000</v>
      </c>
      <c r="E27" s="29"/>
      <c r="G27" t="s">
        <v>147</v>
      </c>
      <c r="H27" s="23" t="s">
        <v>273</v>
      </c>
      <c r="J27" t="s">
        <v>255</v>
      </c>
      <c r="K27" s="29"/>
      <c r="L27" t="s">
        <v>256</v>
      </c>
      <c r="M27">
        <f t="shared" si="0"/>
        <v>-40000</v>
      </c>
    </row>
    <row r="28" spans="1:13" ht="14.45" customHeight="1">
      <c r="A28" s="18" t="s">
        <v>14</v>
      </c>
      <c r="B28" s="19" t="s">
        <v>29</v>
      </c>
      <c r="C28" s="29"/>
      <c r="D28" s="29">
        <v>41000</v>
      </c>
      <c r="E28" s="29"/>
      <c r="G28" t="s">
        <v>147</v>
      </c>
      <c r="J28" t="s">
        <v>259</v>
      </c>
      <c r="K28" s="29">
        <v>50</v>
      </c>
      <c r="L28" t="s">
        <v>256</v>
      </c>
      <c r="M28">
        <f t="shared" si="0"/>
        <v>-41000</v>
      </c>
    </row>
    <row r="29" spans="1:13" ht="14.45" customHeight="1">
      <c r="A29" s="27" t="s">
        <v>14</v>
      </c>
      <c r="B29" s="28" t="s">
        <v>30</v>
      </c>
      <c r="C29" s="29"/>
      <c r="D29" s="30">
        <v>70000</v>
      </c>
      <c r="E29" s="29"/>
      <c r="G29" t="s">
        <v>147</v>
      </c>
      <c r="J29" t="s">
        <v>259</v>
      </c>
      <c r="K29" s="29">
        <v>50</v>
      </c>
      <c r="L29" t="s">
        <v>256</v>
      </c>
      <c r="M29">
        <f t="shared" si="0"/>
        <v>-70000</v>
      </c>
    </row>
    <row r="30" spans="1:13" ht="14.45" customHeight="1">
      <c r="A30" s="18" t="s">
        <v>14</v>
      </c>
      <c r="B30" s="19" t="s">
        <v>31</v>
      </c>
      <c r="C30" s="29"/>
      <c r="D30" s="30">
        <v>91000</v>
      </c>
      <c r="E30" s="29"/>
      <c r="G30" t="s">
        <v>147</v>
      </c>
      <c r="J30" t="s">
        <v>259</v>
      </c>
      <c r="K30" s="29">
        <v>50</v>
      </c>
      <c r="L30" t="s">
        <v>256</v>
      </c>
      <c r="M30">
        <f t="shared" si="0"/>
        <v>-91000</v>
      </c>
    </row>
    <row r="31" spans="1:13" ht="14.45" customHeight="1">
      <c r="A31" s="27" t="s">
        <v>32</v>
      </c>
      <c r="B31" s="28" t="s">
        <v>33</v>
      </c>
      <c r="C31" s="29"/>
      <c r="D31" s="30">
        <v>1200000</v>
      </c>
      <c r="E31" s="29"/>
      <c r="G31" t="s">
        <v>147</v>
      </c>
      <c r="H31" s="23" t="s">
        <v>34</v>
      </c>
      <c r="J31" t="s">
        <v>255</v>
      </c>
      <c r="K31" s="29"/>
      <c r="L31" t="s">
        <v>256</v>
      </c>
      <c r="M31">
        <f t="shared" si="0"/>
        <v>-1200000</v>
      </c>
    </row>
    <row r="32" spans="1:13" ht="14.45" customHeight="1">
      <c r="A32" s="18" t="s">
        <v>32</v>
      </c>
      <c r="B32" s="19" t="s">
        <v>36</v>
      </c>
      <c r="C32" s="29"/>
      <c r="D32" s="30">
        <v>110000</v>
      </c>
      <c r="E32" s="29"/>
      <c r="G32" t="s">
        <v>147</v>
      </c>
      <c r="H32" s="23" t="s">
        <v>34</v>
      </c>
      <c r="J32" t="s">
        <v>255</v>
      </c>
      <c r="K32" s="29"/>
      <c r="L32" t="s">
        <v>256</v>
      </c>
      <c r="M32">
        <f t="shared" si="0"/>
        <v>-110000</v>
      </c>
    </row>
    <row r="33" spans="1:13" ht="14.45" customHeight="1">
      <c r="A33" s="27" t="s">
        <v>37</v>
      </c>
      <c r="B33" s="28" t="s">
        <v>38</v>
      </c>
      <c r="C33" s="29"/>
      <c r="D33" s="30">
        <f>SUM(data!K17:K22)</f>
        <v>2300000</v>
      </c>
      <c r="E33" s="29"/>
      <c r="G33" t="s">
        <v>147</v>
      </c>
      <c r="H33" s="23" t="s">
        <v>274</v>
      </c>
      <c r="J33" t="s">
        <v>255</v>
      </c>
      <c r="K33" s="29"/>
      <c r="L33" t="s">
        <v>173</v>
      </c>
      <c r="M33">
        <f t="shared" si="0"/>
        <v>2300000</v>
      </c>
    </row>
    <row r="34" spans="1:13" ht="14.45" customHeight="1">
      <c r="A34" s="18" t="s">
        <v>37</v>
      </c>
      <c r="B34" s="19" t="s">
        <v>41</v>
      </c>
      <c r="C34" s="29"/>
      <c r="D34" s="30">
        <v>1500000</v>
      </c>
      <c r="E34" s="29"/>
      <c r="G34" t="s">
        <v>147</v>
      </c>
      <c r="H34" s="23" t="s">
        <v>275</v>
      </c>
      <c r="J34" t="s">
        <v>259</v>
      </c>
      <c r="K34" s="29">
        <v>50</v>
      </c>
      <c r="L34" t="s">
        <v>173</v>
      </c>
      <c r="M34">
        <f t="shared" si="0"/>
        <v>1500000</v>
      </c>
    </row>
    <row r="35" spans="1:13" ht="14.45" customHeight="1">
      <c r="A35" s="27" t="s">
        <v>42</v>
      </c>
      <c r="B35" s="28" t="s">
        <v>43</v>
      </c>
      <c r="C35" s="30"/>
      <c r="D35" s="29">
        <f>SUM(D15:D25)</f>
        <v>1499600</v>
      </c>
      <c r="E35" s="29"/>
      <c r="G35" t="s">
        <v>147</v>
      </c>
      <c r="H35" s="23" t="s">
        <v>276</v>
      </c>
      <c r="J35" t="s">
        <v>255</v>
      </c>
      <c r="K35" s="29"/>
      <c r="L35" t="s">
        <v>173</v>
      </c>
      <c r="M35">
        <f t="shared" si="0"/>
        <v>1499600</v>
      </c>
    </row>
    <row r="36" spans="1:13" ht="14.45" customHeight="1">
      <c r="A36" s="18" t="s">
        <v>44</v>
      </c>
      <c r="B36" s="19" t="s">
        <v>45</v>
      </c>
      <c r="C36" s="29"/>
      <c r="D36" s="29">
        <f>data!E28</f>
        <v>2280000</v>
      </c>
      <c r="E36" s="29"/>
      <c r="G36" t="s">
        <v>147</v>
      </c>
      <c r="J36" t="s">
        <v>259</v>
      </c>
      <c r="K36" s="29">
        <v>25</v>
      </c>
      <c r="L36" t="s">
        <v>173</v>
      </c>
      <c r="M36">
        <f t="shared" si="0"/>
        <v>2280000</v>
      </c>
    </row>
    <row r="37" spans="1:13" ht="14.45" customHeight="1">
      <c r="A37" s="27" t="s">
        <v>44</v>
      </c>
      <c r="B37" s="28" t="s">
        <v>46</v>
      </c>
      <c r="C37" s="29"/>
      <c r="D37" s="29">
        <f>(3000*data!E33)*(data!E21/100)*25</f>
        <v>720975</v>
      </c>
      <c r="E37" s="29"/>
      <c r="G37" t="s">
        <v>147</v>
      </c>
      <c r="J37" t="s">
        <v>259</v>
      </c>
      <c r="K37" s="29">
        <v>25</v>
      </c>
      <c r="L37" t="s">
        <v>173</v>
      </c>
      <c r="M37">
        <f t="shared" si="0"/>
        <v>720975</v>
      </c>
    </row>
    <row r="38" spans="1:13" ht="14.45" customHeight="1">
      <c r="A38" s="18" t="s">
        <v>127</v>
      </c>
      <c r="B38" s="19" t="s">
        <v>48</v>
      </c>
      <c r="C38" s="29"/>
      <c r="D38" s="29">
        <f>795*1000</f>
        <v>795000</v>
      </c>
      <c r="E38" s="29"/>
      <c r="G38" t="s">
        <v>154</v>
      </c>
      <c r="H38" s="23" t="s">
        <v>277</v>
      </c>
      <c r="J38" t="s">
        <v>259</v>
      </c>
      <c r="K38" s="29">
        <v>25</v>
      </c>
      <c r="L38" t="s">
        <v>173</v>
      </c>
      <c r="M38">
        <f t="shared" si="0"/>
        <v>795000</v>
      </c>
    </row>
    <row r="39" spans="1:13" ht="14.45" customHeight="1">
      <c r="A39" s="27" t="s">
        <v>127</v>
      </c>
      <c r="B39" s="28" t="s">
        <v>51</v>
      </c>
      <c r="C39" s="29"/>
      <c r="D39" s="29">
        <f>850*1000</f>
        <v>850000</v>
      </c>
      <c r="E39" s="29"/>
      <c r="G39" t="s">
        <v>161</v>
      </c>
      <c r="H39" s="23" t="s">
        <v>278</v>
      </c>
      <c r="J39" t="s">
        <v>259</v>
      </c>
      <c r="K39" s="29">
        <v>25</v>
      </c>
      <c r="L39" t="s">
        <v>173</v>
      </c>
      <c r="M39">
        <f t="shared" si="0"/>
        <v>850000</v>
      </c>
    </row>
    <row r="40" spans="1:13" ht="14.45" customHeight="1">
      <c r="A40" s="18" t="s">
        <v>127</v>
      </c>
      <c r="B40" s="19" t="s">
        <v>52</v>
      </c>
      <c r="C40" s="29"/>
      <c r="D40" s="29">
        <f>5400*25</f>
        <v>135000</v>
      </c>
      <c r="E40" s="29"/>
      <c r="G40" t="s">
        <v>154</v>
      </c>
      <c r="H40" s="23" t="s">
        <v>277</v>
      </c>
      <c r="J40" t="s">
        <v>255</v>
      </c>
      <c r="K40" s="29"/>
      <c r="L40" t="s">
        <v>173</v>
      </c>
      <c r="M40">
        <f t="shared" si="0"/>
        <v>135000</v>
      </c>
    </row>
    <row r="41" spans="1:13" ht="14.45" customHeight="1">
      <c r="A41" s="27" t="s">
        <v>127</v>
      </c>
      <c r="B41" s="28" t="s">
        <v>55</v>
      </c>
      <c r="C41" s="29"/>
      <c r="D41" s="29">
        <f>8157*25</f>
        <v>203925</v>
      </c>
      <c r="E41" s="29"/>
      <c r="G41" t="s">
        <v>161</v>
      </c>
      <c r="H41" s="23" t="s">
        <v>278</v>
      </c>
      <c r="J41" t="s">
        <v>255</v>
      </c>
      <c r="K41" s="29"/>
      <c r="L41" t="s">
        <v>173</v>
      </c>
      <c r="M41">
        <f t="shared" si="0"/>
        <v>203925</v>
      </c>
    </row>
  </sheetData>
  <dataValidations count="2">
    <dataValidation type="list" allowBlank="1" showInputMessage="1" showErrorMessage="1" sqref="L8:L41" xr:uid="{0B4BFF48-ABEB-4AB4-89CE-54248693F6EB}">
      <formula1>"Kustannus,Tulo"</formula1>
    </dataValidation>
    <dataValidation type="list" allowBlank="1" showInputMessage="1" showErrorMessage="1" sqref="J8:J41" xr:uid="{FF5F03A7-21D6-46B4-B6A5-79C5C901CAF9}">
      <formula1>"Pääomatalous, Käyttötalous"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D78DDD-CC2A-487C-9575-9868797A481B}">
          <x14:formula1>
            <xm:f>data!$B$13:$B$17</xm:f>
          </x14:formula1>
          <xm:sqref>G8:G41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740-3206-49E8-805E-957FA09771D9}">
  <dimension ref="B2:I20"/>
  <sheetViews>
    <sheetView workbookViewId="0">
      <selection activeCell="E23" sqref="E23"/>
    </sheetView>
  </sheetViews>
  <sheetFormatPr defaultRowHeight="14.45"/>
  <cols>
    <col min="2" max="2" width="30.7109375" bestFit="1" customWidth="1"/>
    <col min="3" max="3" width="36" bestFit="1" customWidth="1"/>
    <col min="4" max="4" width="9.5703125" bestFit="1" customWidth="1"/>
    <col min="5" max="5" width="31" bestFit="1" customWidth="1"/>
    <col min="6" max="6" width="17" bestFit="1" customWidth="1"/>
    <col min="7" max="7" width="67.42578125" bestFit="1" customWidth="1"/>
    <col min="8" max="8" width="15" bestFit="1" customWidth="1"/>
    <col min="9" max="9" width="48.5703125" bestFit="1" customWidth="1"/>
  </cols>
  <sheetData>
    <row r="2" spans="2:9">
      <c r="B2" t="s">
        <v>279</v>
      </c>
      <c r="C2" t="s">
        <v>280</v>
      </c>
      <c r="D2" t="s">
        <v>60</v>
      </c>
      <c r="E2" t="s">
        <v>281</v>
      </c>
      <c r="F2" t="s">
        <v>282</v>
      </c>
      <c r="G2" t="s">
        <v>283</v>
      </c>
      <c r="H2" t="s">
        <v>284</v>
      </c>
    </row>
    <row r="3" spans="2:9">
      <c r="B3" t="s">
        <v>285</v>
      </c>
      <c r="C3" t="s">
        <v>6</v>
      </c>
      <c r="D3">
        <v>138000</v>
      </c>
      <c r="E3">
        <f t="shared" ref="E3:E20" si="0">D3/SUM($D$3:$D$20)</f>
        <v>0.14435146443514643</v>
      </c>
      <c r="F3" t="s">
        <v>286</v>
      </c>
      <c r="G3" t="s">
        <v>287</v>
      </c>
    </row>
    <row r="4" spans="2:9">
      <c r="B4" t="s">
        <v>285</v>
      </c>
      <c r="C4" t="s">
        <v>288</v>
      </c>
      <c r="D4">
        <v>7000</v>
      </c>
      <c r="E4">
        <f t="shared" si="0"/>
        <v>7.3221757322175732E-3</v>
      </c>
      <c r="F4" t="s">
        <v>289</v>
      </c>
      <c r="I4" t="s">
        <v>290</v>
      </c>
    </row>
    <row r="5" spans="2:9">
      <c r="B5" t="s">
        <v>285</v>
      </c>
      <c r="C5" t="s">
        <v>9</v>
      </c>
      <c r="D5">
        <v>10000</v>
      </c>
      <c r="E5">
        <f t="shared" si="0"/>
        <v>1.0460251046025104E-2</v>
      </c>
      <c r="F5" t="s">
        <v>286</v>
      </c>
    </row>
    <row r="6" spans="2:9">
      <c r="B6" t="s">
        <v>285</v>
      </c>
      <c r="C6" t="s">
        <v>291</v>
      </c>
      <c r="D6">
        <v>10000</v>
      </c>
      <c r="E6">
        <f t="shared" si="0"/>
        <v>1.0460251046025104E-2</v>
      </c>
      <c r="F6" t="s">
        <v>289</v>
      </c>
      <c r="I6" t="s">
        <v>290</v>
      </c>
    </row>
    <row r="7" spans="2:9">
      <c r="B7" t="s">
        <v>285</v>
      </c>
      <c r="C7" t="s">
        <v>10</v>
      </c>
      <c r="D7">
        <v>2000</v>
      </c>
      <c r="E7">
        <f t="shared" si="0"/>
        <v>2.0920502092050207E-3</v>
      </c>
      <c r="F7" t="s">
        <v>286</v>
      </c>
    </row>
    <row r="8" spans="2:9">
      <c r="B8" t="s">
        <v>285</v>
      </c>
      <c r="C8" t="s">
        <v>292</v>
      </c>
      <c r="D8">
        <v>0</v>
      </c>
      <c r="E8">
        <f t="shared" si="0"/>
        <v>0</v>
      </c>
      <c r="F8" t="s">
        <v>289</v>
      </c>
      <c r="I8" t="s">
        <v>290</v>
      </c>
    </row>
    <row r="9" spans="2:9">
      <c r="B9" t="s">
        <v>285</v>
      </c>
      <c r="C9" t="s">
        <v>293</v>
      </c>
      <c r="D9">
        <v>0</v>
      </c>
      <c r="E9">
        <f>D9/SUM($D$3:$D$20)</f>
        <v>0</v>
      </c>
    </row>
    <row r="10" spans="2:9">
      <c r="B10" t="s">
        <v>294</v>
      </c>
      <c r="C10" t="s">
        <v>17</v>
      </c>
      <c r="D10">
        <v>138000</v>
      </c>
      <c r="E10">
        <f t="shared" si="0"/>
        <v>0.14435146443514643</v>
      </c>
      <c r="F10" t="s">
        <v>295</v>
      </c>
    </row>
    <row r="11" spans="2:9">
      <c r="B11" t="s">
        <v>294</v>
      </c>
      <c r="C11" t="s">
        <v>18</v>
      </c>
      <c r="D11">
        <v>0</v>
      </c>
      <c r="E11">
        <f t="shared" si="0"/>
        <v>0</v>
      </c>
      <c r="F11" t="s">
        <v>295</v>
      </c>
    </row>
    <row r="12" spans="2:9">
      <c r="B12" t="s">
        <v>294</v>
      </c>
      <c r="C12" t="s">
        <v>19</v>
      </c>
      <c r="D12">
        <v>237000</v>
      </c>
      <c r="E12">
        <f t="shared" si="0"/>
        <v>0.24790794979079497</v>
      </c>
      <c r="F12" t="s">
        <v>295</v>
      </c>
    </row>
    <row r="13" spans="2:9">
      <c r="B13" t="s">
        <v>296</v>
      </c>
      <c r="C13" t="s">
        <v>23</v>
      </c>
      <c r="D13">
        <v>115000</v>
      </c>
      <c r="E13">
        <f t="shared" si="0"/>
        <v>0.1202928870292887</v>
      </c>
      <c r="F13" t="s">
        <v>295</v>
      </c>
    </row>
    <row r="14" spans="2:9">
      <c r="B14" t="s">
        <v>296</v>
      </c>
      <c r="C14" t="s">
        <v>270</v>
      </c>
      <c r="D14">
        <v>38000</v>
      </c>
      <c r="E14">
        <f>D14/SUM($D$3:$D$20)</f>
        <v>3.9748953974895397E-2</v>
      </c>
    </row>
    <row r="15" spans="2:9">
      <c r="B15" t="s">
        <v>21</v>
      </c>
      <c r="C15" t="s">
        <v>21</v>
      </c>
      <c r="D15">
        <v>37000</v>
      </c>
      <c r="E15">
        <f t="shared" si="0"/>
        <v>3.8702928870292884E-2</v>
      </c>
      <c r="F15" t="s">
        <v>295</v>
      </c>
    </row>
    <row r="16" spans="2:9">
      <c r="B16" t="s">
        <v>22</v>
      </c>
      <c r="C16" t="s">
        <v>22</v>
      </c>
      <c r="D16">
        <v>7000</v>
      </c>
      <c r="E16">
        <f t="shared" si="0"/>
        <v>7.3221757322175732E-3</v>
      </c>
      <c r="F16" t="s">
        <v>295</v>
      </c>
    </row>
    <row r="17" spans="2:9">
      <c r="B17" t="s">
        <v>297</v>
      </c>
      <c r="C17" t="s">
        <v>297</v>
      </c>
      <c r="D17">
        <v>89000</v>
      </c>
      <c r="E17">
        <f t="shared" si="0"/>
        <v>9.3096234309623424E-2</v>
      </c>
      <c r="F17" t="s">
        <v>295</v>
      </c>
    </row>
    <row r="18" spans="2:9">
      <c r="B18" t="s">
        <v>298</v>
      </c>
      <c r="D18">
        <v>0</v>
      </c>
      <c r="E18">
        <f t="shared" si="0"/>
        <v>0</v>
      </c>
      <c r="F18" t="s">
        <v>289</v>
      </c>
      <c r="I18" t="s">
        <v>299</v>
      </c>
    </row>
    <row r="19" spans="2:9">
      <c r="B19" t="s">
        <v>300</v>
      </c>
      <c r="C19" t="s">
        <v>12</v>
      </c>
      <c r="D19">
        <f>data!S7*1000</f>
        <v>128000</v>
      </c>
      <c r="E19">
        <f t="shared" si="0"/>
        <v>0.13389121338912133</v>
      </c>
      <c r="F19" t="s">
        <v>301</v>
      </c>
      <c r="H19" t="s">
        <v>302</v>
      </c>
      <c r="I19" t="s">
        <v>303</v>
      </c>
    </row>
    <row r="20" spans="2:9">
      <c r="B20" t="s">
        <v>304</v>
      </c>
      <c r="D20">
        <v>0</v>
      </c>
      <c r="E20">
        <f t="shared" si="0"/>
        <v>0</v>
      </c>
      <c r="F20" t="s">
        <v>289</v>
      </c>
      <c r="I20" t="s">
        <v>305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FD13-BD34-4BFE-A13C-124C45536AD4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478389-f936-4225-b32d-6c80214bf389" xsi:nil="true"/>
    <lcf76f155ced4ddcb4097134ff3c332f xmlns="2c3fd24a-ebd2-413b-9cd1-9a82f923ef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E9234A942BF3FF4F88626166F4ABFE13" ma:contentTypeVersion="19" ma:contentTypeDescription="Luo uusi asiakirja." ma:contentTypeScope="" ma:versionID="b9b6e14acb6776cc282a474b3916ed1a">
  <xsd:schema xmlns:xsd="http://www.w3.org/2001/XMLSchema" xmlns:xs="http://www.w3.org/2001/XMLSchema" xmlns:p="http://schemas.microsoft.com/office/2006/metadata/properties" xmlns:ns2="2c3fd24a-ebd2-413b-9cd1-9a82f923ef25" xmlns:ns3="10478389-f936-4225-b32d-6c80214bf389" targetNamespace="http://schemas.microsoft.com/office/2006/metadata/properties" ma:root="true" ma:fieldsID="563565f8dbf9dd60bf002d1ddaaea64c" ns2:_="" ns3:_="">
    <xsd:import namespace="2c3fd24a-ebd2-413b-9cd1-9a82f923ef25"/>
    <xsd:import namespace="10478389-f936-4225-b32d-6c80214bf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fd24a-ebd2-413b-9cd1-9a82f923ef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Kuvien tunnisteet" ma:readOnly="false" ma:fieldId="{5cf76f15-5ced-4ddc-b409-7134ff3c332f}" ma:taxonomyMulti="true" ma:sspId="ca21971b-e04b-4e31-9f45-cf2f6b61fc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78389-f936-4225-b32d-6c80214bf3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af2bf3-45db-4539-b6af-46da2619908b}" ma:internalName="TaxCatchAll" ma:showField="CatchAllData" ma:web="10478389-f936-4225-b32d-6c80214bf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24705C-3AD8-4ED5-BEF5-9742568E7C15}"/>
</file>

<file path=customXml/itemProps2.xml><?xml version="1.0" encoding="utf-8"?>
<ds:datastoreItem xmlns:ds="http://schemas.openxmlformats.org/officeDocument/2006/customXml" ds:itemID="{51F4886A-2E5D-49EA-9EBD-6982BE3029AB}"/>
</file>

<file path=customXml/itemProps3.xml><?xml version="1.0" encoding="utf-8"?>
<ds:datastoreItem xmlns:ds="http://schemas.openxmlformats.org/officeDocument/2006/customXml" ds:itemID="{99AE806F-993F-4133-9A2D-32BB992417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Anne-Mari Koivisto</dc:creator>
  <cp:keywords/>
  <dc:description/>
  <cp:lastModifiedBy>Anne-Mari Koivisto</cp:lastModifiedBy>
  <cp:revision/>
  <dcterms:created xsi:type="dcterms:W3CDTF">2026-02-19T09:03:48Z</dcterms:created>
  <dcterms:modified xsi:type="dcterms:W3CDTF">2026-03-06T09:14:26Z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Enabled">
    <vt:lpwstr>true</vt:lpwstr>
  </property>
  <property fmtid="{D5CDD505-2E9C-101B-9397-08002B2CF9AE}" pid="3" name="MSIP_Label_20ea7001-5c24-4702-a3ac-e436ccb02747_SetDate">
    <vt:lpwstr>2026-02-19T09:04:04Z</vt:lpwstr>
  </property>
  <property fmtid="{D5CDD505-2E9C-101B-9397-08002B2CF9AE}" pid="4" name="MSIP_Label_20ea7001-5c24-4702-a3ac-e436ccb02747_Method">
    <vt:lpwstr>Standard</vt:lpwstr>
  </property>
  <property fmtid="{D5CDD505-2E9C-101B-9397-08002B2CF9AE}" pid="5" name="MSIP_Label_20ea7001-5c24-4702-a3ac-e436ccb02747_Name">
    <vt:lpwstr>Confidential</vt:lpwstr>
  </property>
  <property fmtid="{D5CDD505-2E9C-101B-9397-08002B2CF9AE}" pid="6" name="MSIP_Label_20ea7001-5c24-4702-a3ac-e436ccb02747_SiteId">
    <vt:lpwstr>c8823c91-be81-4f89-b024-6c3dd789c106</vt:lpwstr>
  </property>
  <property fmtid="{D5CDD505-2E9C-101B-9397-08002B2CF9AE}" pid="7" name="MSIP_Label_20ea7001-5c24-4702-a3ac-e436ccb02747_ActionId">
    <vt:lpwstr>802fd67c-0e51-496e-9fb5-23f20797de41</vt:lpwstr>
  </property>
  <property fmtid="{D5CDD505-2E9C-101B-9397-08002B2CF9AE}" pid="8" name="MSIP_Label_20ea7001-5c24-4702-a3ac-e436ccb02747_ContentBits">
    <vt:lpwstr>2</vt:lpwstr>
  </property>
  <property fmtid="{D5CDD505-2E9C-101B-9397-08002B2CF9AE}" pid="9" name="MSIP_Label_20ea7001-5c24-4702-a3ac-e436ccb02747_Tag">
    <vt:lpwstr>10, 3, 0, 1</vt:lpwstr>
  </property>
  <property fmtid="{D5CDD505-2E9C-101B-9397-08002B2CF9AE}" pid="10" name="ContentTypeId">
    <vt:lpwstr>0x010100E9234A942BF3FF4F88626166F4ABFE13</vt:lpwstr>
  </property>
  <property fmtid="{D5CDD505-2E9C-101B-9397-08002B2CF9AE}" pid="11" name="MediaServiceImageTags">
    <vt:lpwstr/>
  </property>
</Properties>
</file>