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/>
  <mc:AlternateContent xmlns:mc="http://schemas.openxmlformats.org/markup-compatibility/2006">
    <mc:Choice Requires="x15">
      <x15ac:absPath xmlns:x15ac="http://schemas.microsoft.com/office/spreadsheetml/2010/11/ac" url="https://ramboll-my.sharepoint.com/personal/jaakko_junttu_ramboll_fi/Documents/Desktop/kaavatalouslaskennan_digitalisointi/"/>
    </mc:Choice>
  </mc:AlternateContent>
  <xr:revisionPtr revIDLastSave="1661" documentId="8_{6081CC3E-53CC-4A97-86E0-08415BE0B333}" xr6:coauthVersionLast="47" xr6:coauthVersionMax="47" xr10:uidLastSave="{996A10AB-B838-45FE-89B1-AAF1CFC51DDB}"/>
  <bookViews>
    <workbookView xWindow="390" yWindow="390" windowWidth="21525" windowHeight="14190" firstSheet="1" activeTab="2" xr2:uid="{DBC00A78-18F2-4E96-9B52-52829B09111E}"/>
  </bookViews>
  <sheets>
    <sheet name="taustatiedot" sheetId="1" state="hidden" r:id="rId1"/>
    <sheet name="YHTEENVETO" sheetId="5" r:id="rId2"/>
    <sheet name="KUSTANNUKSET" sheetId="2" r:id="rId3"/>
    <sheet name="TULOT" sheetId="6" r:id="rId4"/>
    <sheet name="PÄÄSTÖT" sheetId="4" r:id="rId5"/>
    <sheet name="data" sheetId="3" r:id="rId6"/>
  </sheets>
  <definedNames>
    <definedName name="table_kategoria">#REF!</definedName>
  </definedNames>
  <calcPr calcId="191028"/>
  <pivotCaches>
    <pivotCache cacheId="0" r:id="rId7"/>
    <pivotCache cacheId="1" r:id="rId8"/>
    <pivotCache cacheId="2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5" i="3" l="1" a="1"/>
  <c r="R5" i="3"/>
  <c r="Q5" i="3" a="1"/>
  <c r="Q5" i="3" s="1"/>
  <c r="P5" i="3" a="1"/>
  <c r="P5" i="3" s="1"/>
  <c r="O5" i="3" a="1"/>
  <c r="O5" i="3" s="1"/>
  <c r="M5" i="3" a="1"/>
  <c r="M5" i="3" s="1"/>
  <c r="F19" i="2" a="1"/>
  <c r="F19" i="2" s="1"/>
  <c r="F5" i="6" a="1"/>
  <c r="F5" i="6" s="1"/>
  <c r="F6" i="6" a="1"/>
  <c r="F6" i="6" s="1"/>
  <c r="F7" i="6" a="1"/>
  <c r="F7" i="6" s="1"/>
  <c r="F8" i="6" a="1"/>
  <c r="F8" i="6" s="1"/>
  <c r="F9" i="6" a="1"/>
  <c r="F9" i="6" s="1"/>
  <c r="F10" i="6" a="1"/>
  <c r="F10" i="6" s="1"/>
  <c r="F11" i="6" a="1"/>
  <c r="F11" i="6" s="1"/>
  <c r="F12" i="6" a="1"/>
  <c r="F12" i="6" s="1"/>
  <c r="F13" i="6" a="1"/>
  <c r="F13" i="6" s="1"/>
  <c r="S5" i="2"/>
  <c r="S6" i="2"/>
  <c r="S7" i="2"/>
  <c r="S8" i="2"/>
  <c r="S9" i="2"/>
  <c r="R5" i="6"/>
  <c r="R6" i="6"/>
  <c r="R7" i="6"/>
  <c r="N5" i="3" a="1"/>
  <c r="N5" i="3" s="1"/>
  <c r="G19" i="2" l="1"/>
  <c r="F14" i="2" a="1"/>
  <c r="F14" i="2" s="1"/>
  <c r="G14" i="2" s="1"/>
  <c r="F8" i="2" a="1"/>
  <c r="F8" i="2" s="1"/>
  <c r="G8" i="2" s="1"/>
  <c r="F5" i="2" a="1"/>
  <c r="F5" i="2" s="1"/>
  <c r="G5" i="2" s="1"/>
  <c r="G5" i="6"/>
  <c r="G6" i="6"/>
  <c r="G7" i="6"/>
  <c r="G8" i="6"/>
  <c r="F30" i="2" a="1"/>
  <c r="F30" i="2" s="1"/>
  <c r="G30" i="2" s="1"/>
  <c r="F29" i="2" a="1"/>
  <c r="F29" i="2" s="1"/>
  <c r="G29" i="2" s="1"/>
  <c r="F28" i="2" a="1"/>
  <c r="F28" i="2" s="1"/>
  <c r="G28" i="2" s="1"/>
  <c r="F27" i="2" a="1"/>
  <c r="F27" i="2" s="1"/>
  <c r="G27" i="2" s="1"/>
  <c r="F26" i="2" a="1"/>
  <c r="F26" i="2" s="1"/>
  <c r="G26" i="2" s="1"/>
  <c r="F25" i="2" a="1"/>
  <c r="F25" i="2" s="1"/>
  <c r="G25" i="2" s="1"/>
  <c r="F24" i="2" a="1"/>
  <c r="F24" i="2" s="1"/>
  <c r="G24" i="2" s="1"/>
  <c r="F23" i="2" a="1"/>
  <c r="F23" i="2" s="1"/>
  <c r="G23" i="2" s="1"/>
  <c r="F22" i="2" a="1"/>
  <c r="F22" i="2" s="1"/>
  <c r="G22" i="2" s="1"/>
  <c r="F21" i="2" a="1"/>
  <c r="F21" i="2" s="1"/>
  <c r="G21" i="2" s="1"/>
  <c r="F20" i="2" a="1"/>
  <c r="F20" i="2" s="1"/>
  <c r="G20" i="2" s="1"/>
  <c r="F18" i="2" a="1"/>
  <c r="F18" i="2" s="1"/>
  <c r="G18" i="2" s="1"/>
  <c r="F17" i="2" a="1"/>
  <c r="F17" i="2" s="1"/>
  <c r="G17" i="2" s="1"/>
  <c r="F16" i="2" a="1"/>
  <c r="F16" i="2" s="1"/>
  <c r="F15" i="2" a="1"/>
  <c r="F15" i="2" s="1"/>
  <c r="G15" i="2" s="1"/>
  <c r="F13" i="2" a="1"/>
  <c r="F13" i="2" s="1"/>
  <c r="G13" i="2" s="1"/>
  <c r="F12" i="2" a="1"/>
  <c r="F12" i="2" s="1"/>
  <c r="G12" i="2" s="1"/>
  <c r="F11" i="2" a="1"/>
  <c r="F11" i="2" s="1"/>
  <c r="G11" i="2" s="1"/>
  <c r="F10" i="2" a="1"/>
  <c r="F10" i="2" s="1"/>
  <c r="G10" i="2" s="1"/>
  <c r="F9" i="2" a="1"/>
  <c r="F9" i="2" s="1"/>
  <c r="G9" i="2" s="1"/>
  <c r="F7" i="2" a="1"/>
  <c r="F7" i="2" s="1"/>
  <c r="G7" i="2" s="1"/>
  <c r="F6" i="2" a="1"/>
  <c r="F6" i="2" s="1"/>
  <c r="G6" i="2" s="1"/>
  <c r="H8" i="4"/>
  <c r="H5" i="4" l="1"/>
  <c r="H19" i="4"/>
  <c r="H6" i="4"/>
  <c r="H7" i="4"/>
  <c r="H20" i="4"/>
  <c r="H18" i="4"/>
  <c r="H17" i="4"/>
  <c r="H16" i="4"/>
  <c r="H15" i="4"/>
  <c r="H14" i="4"/>
  <c r="H13" i="4"/>
  <c r="H12" i="4"/>
  <c r="H11" i="4"/>
  <c r="H10" i="4"/>
  <c r="H9" i="4"/>
  <c r="G11" i="6"/>
  <c r="G10" i="6"/>
  <c r="G12" i="6"/>
  <c r="G13" i="6"/>
  <c r="G9" i="6"/>
  <c r="B3" i="4"/>
  <c r="G16" i="2"/>
  <c r="B3" i="6" l="1"/>
  <c r="B3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<sst xmlns="http://schemas.openxmlformats.org/spreadsheetml/2006/main" count="725" uniqueCount="167">
  <si>
    <t>Pääluokka</t>
  </si>
  <si>
    <t>Kustannus/tulo</t>
  </si>
  <si>
    <t>Automatisoitu vai syöttö</t>
  </si>
  <si>
    <t>Mistä kustannus/tulo on haettu</t>
  </si>
  <si>
    <t>Tulevaisuuden kehitysidea</t>
  </si>
  <si>
    <t>Talonrakentaminen</t>
  </si>
  <si>
    <t>Esirakentaminen</t>
  </si>
  <si>
    <t>Syöttö</t>
  </si>
  <si>
    <t>Tieto kysytään KITIA:lta</t>
  </si>
  <si>
    <t>Maaperän kunnostaminen</t>
  </si>
  <si>
    <t>Rakenteiden muutokset ja purut</t>
  </si>
  <si>
    <t>Tieto kysytään KITIA:lta, käytetään kaavasuunnitelman kerrosalaa</t>
  </si>
  <si>
    <t>Palvelutilarakennusten rakentaminen</t>
  </si>
  <si>
    <t>Palvelutilarakennusten kunnossapito</t>
  </si>
  <si>
    <t>Infrarakentaminen</t>
  </si>
  <si>
    <t>Ihku-laskentapalvelussa laskettu</t>
  </si>
  <si>
    <t>Ihku-kehitys ja rajapinnan kehittäminen</t>
  </si>
  <si>
    <t>Melusuojat</t>
  </si>
  <si>
    <t>Ympäristösuojat</t>
  </si>
  <si>
    <t>Tie- ja katuverkon rakentaminen</t>
  </si>
  <si>
    <t>Kunnallistekniikan rakentaminen</t>
  </si>
  <si>
    <t>Vesihuolto</t>
  </si>
  <si>
    <t>Energiahuolto</t>
  </si>
  <si>
    <t>Puistojen ja yleisten alueiden rakentaminen</t>
  </si>
  <si>
    <t>Sillat (taitorakenteet)</t>
  </si>
  <si>
    <t>Raitiotie</t>
  </si>
  <si>
    <t>Raitiotieallianssilta</t>
  </si>
  <si>
    <t>Pysäköinti</t>
  </si>
  <si>
    <t>Pysäköinnin suunnitelmista</t>
  </si>
  <si>
    <t>Tie- ja katuverkon kunnossapito</t>
  </si>
  <si>
    <t>Kunnallistekniikan kunnossapito</t>
  </si>
  <si>
    <t>Puistojen ja yleisten alueiden kunnossapito</t>
  </si>
  <si>
    <t>Maanhankinta</t>
  </si>
  <si>
    <t>Maan osto</t>
  </si>
  <si>
    <t>Kaupungin maanhankintapäällikön konsultointi</t>
  </si>
  <si>
    <t>MML:n kansallinen kauppahintatilasto</t>
  </si>
  <si>
    <t>Maan lunastus</t>
  </si>
  <si>
    <t>Maan myynti tai vuokraus</t>
  </si>
  <si>
    <t>Maan myynti</t>
  </si>
  <si>
    <t>Vyöhykehinnastot (KITIA)</t>
  </si>
  <si>
    <t>Vyöhyketaulukot avoimesti kaupungilla sisällä saataviksi, jotta voidaan automatisoida</t>
  </si>
  <si>
    <t>Maan vuokraus</t>
  </si>
  <si>
    <t>Maankäyttötulot</t>
  </si>
  <si>
    <t>Maankäyttömaksut</t>
  </si>
  <si>
    <t>Verotulot</t>
  </si>
  <si>
    <t>Kunnallisvero</t>
  </si>
  <si>
    <t>Kiinteistövero</t>
  </si>
  <si>
    <t>Käyttömaksut</t>
  </si>
  <si>
    <t>Käyttömaksut, vesi</t>
  </si>
  <si>
    <t>Tampereen vesi, hinnasto (https://www.tampereenvesi.fi/hinnasto/?floor_area=100&amp;waste=1&amp;water=1&amp;usage=1%2C6#lomake-1)</t>
  </si>
  <si>
    <t>Vesilaitoyhdistyksen tilastotieto kuntien maksuista hyödynnettäväksi rakenteelliseen muotoon?</t>
  </si>
  <si>
    <t>Käyttömaksut, energia</t>
  </si>
  <si>
    <t>Liittymismaksut, vesi</t>
  </si>
  <si>
    <t>Tampereen vesi, liittymismaksulaskuri 2026</t>
  </si>
  <si>
    <t>Energiateollisuuden tilastotieto hinnastoista hyödynnettäväksi rakenteelliseen muotoon?</t>
  </si>
  <si>
    <t>Liittymismaksut, energia</t>
  </si>
  <si>
    <t>Tampereen energia, kaukolämmön hinnastot (https://www.tampereenenergia.fi/energiaratkaisut/hinnastot/#lahilampoliittymismaksut)</t>
  </si>
  <si>
    <t>KAAVATALOUSLASKENTA</t>
  </si>
  <si>
    <t>HANKE</t>
  </si>
  <si>
    <t>KAAVOITUSPROSESSIN VAIHE</t>
  </si>
  <si>
    <t>LAATIJA</t>
  </si>
  <si>
    <t>KAUPUNKI / KUNTA</t>
  </si>
  <si>
    <t>KAUPUNGINOSA</t>
  </si>
  <si>
    <t>PÄIVÄMÄÄRÄ</t>
  </si>
  <si>
    <t>MAKU-indeksi</t>
  </si>
  <si>
    <t>Kaleva, Hälläpyöränkatu 2, käyttötarkoituksen muutos ja rakennusoikeuden lisääminen, asemakaava nro 9068</t>
  </si>
  <si>
    <t>Aloitusvaihe</t>
  </si>
  <si>
    <t>Eino Esimerkki</t>
  </si>
  <si>
    <t>Tampere</t>
  </si>
  <si>
    <t>Kaleva</t>
  </si>
  <si>
    <t>KUSTANNUKSET</t>
  </si>
  <si>
    <t>TULOT</t>
  </si>
  <si>
    <t>PÄÄSTÖT</t>
  </si>
  <si>
    <t>KATEGORIAT</t>
  </si>
  <si>
    <t>KOKONAISKUSTANNUS SUMMA</t>
  </si>
  <si>
    <t>KOKONAISTULOT SUMMA</t>
  </si>
  <si>
    <t>PÄÄSTÖT SUMMA</t>
  </si>
  <si>
    <t>%-OSUUS KOK. PÄÄST.</t>
  </si>
  <si>
    <t>Julkisten palvelutilojen rakentaminen</t>
  </si>
  <si>
    <t>Verkostomaksut</t>
  </si>
  <si>
    <t>Katujen rakentaminen</t>
  </si>
  <si>
    <t>Puistojen rakentaminen</t>
  </si>
  <si>
    <t>Grand Total</t>
  </si>
  <si>
    <t>Rakentamiskelpoiseksi saattaminen</t>
  </si>
  <si>
    <t>Sillat</t>
  </si>
  <si>
    <t>Hulevesien hallinta</t>
  </si>
  <si>
    <t>Taitorakenteet</t>
  </si>
  <si>
    <t>KUSTANNUKSET:</t>
  </si>
  <si>
    <t>YLÄKATEGORIA</t>
  </si>
  <si>
    <t>ALAKATEGORIA</t>
  </si>
  <si>
    <t>OSATEKIJÄ</t>
  </si>
  <si>
    <t>MÄÄRÄ</t>
  </si>
  <si>
    <t>YKSIKKÖHINTA</t>
  </si>
  <si>
    <t>VARAUKSET</t>
  </si>
  <si>
    <t>KOKONAISKUSTANNUS</t>
  </si>
  <si>
    <t>OSAPUOLI</t>
  </si>
  <si>
    <t>PÄÄOMA- VAI KÄYTTÖTALOUS</t>
  </si>
  <si>
    <t>AJOITTUMINEN</t>
  </si>
  <si>
    <t>KERTYMÄVUODET</t>
  </si>
  <si>
    <t>OHJEET ARVON NOUTOON</t>
  </si>
  <si>
    <t>LISÄTIEDOT</t>
  </si>
  <si>
    <t>Tilaajatehtävät</t>
  </si>
  <si>
    <t>Muut varaukset</t>
  </si>
  <si>
    <t>%</t>
  </si>
  <si>
    <t>Tampereen kaupunki</t>
  </si>
  <si>
    <t>Pääomatalous</t>
  </si>
  <si>
    <t>Rakentaminen</t>
  </si>
  <si>
    <t>Tieto selvitetään KITIA:lta</t>
  </si>
  <si>
    <t>Kaavaillut rakennukset</t>
  </si>
  <si>
    <t>Uusi palvelutilarakennus</t>
  </si>
  <si>
    <t>Käyttötalous</t>
  </si>
  <si>
    <t>Käyttö</t>
  </si>
  <si>
    <t>Massanvaihto</t>
  </si>
  <si>
    <t>Kustannus lasketaan Ihku-laskentapalvelussa</t>
  </si>
  <si>
    <t>Pilaantuneen maan poisto</t>
  </si>
  <si>
    <t>Putken purku</t>
  </si>
  <si>
    <t>Meluseinä</t>
  </si>
  <si>
    <t>Ympäristösuoja</t>
  </si>
  <si>
    <t>Alueellinen kokoojakatu</t>
  </si>
  <si>
    <t>Vesihuollon järjestelmä</t>
  </si>
  <si>
    <t>Tampereen vesi</t>
  </si>
  <si>
    <t>Kaukolämpöjärjestelmä</t>
  </si>
  <si>
    <t>Tampereen energia</t>
  </si>
  <si>
    <t>Puistoaukio</t>
  </si>
  <si>
    <t>Aluevalaistus</t>
  </si>
  <si>
    <t>Alikulkukäytävä</t>
  </si>
  <si>
    <t>Raitiotie-allianssi</t>
  </si>
  <si>
    <t>Kustannus saadaan Raitiotie-allianssilta</t>
  </si>
  <si>
    <t>Kustannus lasketaan pysäköintipolitiikan perusteella</t>
  </si>
  <si>
    <t>TULOT:</t>
  </si>
  <si>
    <t>KOKONAISTULOT</t>
  </si>
  <si>
    <t>KATEGORIA</t>
  </si>
  <si>
    <t>Varaus_1</t>
  </si>
  <si>
    <t>KERROSALATYYPPI</t>
  </si>
  <si>
    <t>Tieto selvitetään KITIA:lta. Tieto perustuu vyöhykehinnastoihin.</t>
  </si>
  <si>
    <t>Asuminen</t>
  </si>
  <si>
    <t>Tieto selvitetään KITIA:lta. Tieto perustuu arvioon tulevasta arvonnoususta ja maan käyttötarkoitukseen.</t>
  </si>
  <si>
    <t>Kaupallinen</t>
  </si>
  <si>
    <t>Tieto selvitetään KITIA:lta. Maankäyttömaksujen tulee kattaa vähintään välittömät infran investointikustannukset.</t>
  </si>
  <si>
    <t>Teollinen</t>
  </si>
  <si>
    <t>Muu, täsmennä</t>
  </si>
  <si>
    <t>Tampereen vedeltä saadaan tulot hinnastoon perustuen.</t>
  </si>
  <si>
    <t>Tampereen energialta saadaan tulot hinnastoon perustuen.</t>
  </si>
  <si>
    <t>PÄÄSTÖT:</t>
  </si>
  <si>
    <t>PÄÄSTÖLUOKKA</t>
  </si>
  <si>
    <t>PROSENTIT KOKONAISPÄÄSTÖISTÄ</t>
  </si>
  <si>
    <t>PÄÄSTÖJEN SAANTI</t>
  </si>
  <si>
    <t>Ihkusta</t>
  </si>
  <si>
    <t>Päiväkoti</t>
  </si>
  <si>
    <t>Syke CO2</t>
  </si>
  <si>
    <t>Melusuoja</t>
  </si>
  <si>
    <t>Kokoojakatu</t>
  </si>
  <si>
    <t>Esirakentamisen kaivannot</t>
  </si>
  <si>
    <t>Ihkusta (infra)</t>
  </si>
  <si>
    <t>Johtojen purku</t>
  </si>
  <si>
    <t>Purku</t>
  </si>
  <si>
    <t>Johtosiirrot</t>
  </si>
  <si>
    <t>Syke CO2 ?</t>
  </si>
  <si>
    <t>Pilaantuneen maan kunnostaminen</t>
  </si>
  <si>
    <t>Perustusten purku</t>
  </si>
  <si>
    <t>Vedenjakelujärjestelmä</t>
  </si>
  <si>
    <t>KATEGORISOINTI</t>
  </si>
  <si>
    <t>JAOTTELU</t>
  </si>
  <si>
    <t>LISTAT</t>
  </si>
  <si>
    <t>KERROSALA</t>
  </si>
  <si>
    <t>Muu</t>
  </si>
  <si>
    <t>Purkaminen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</si>
</sst>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\ &quot;€&quot;"/>
    <numFmt numFmtId="165" formatCode="#,##0.00\ &quot;€&quot;;[Red]#,##0.00\ &quot;€&quot;"/>
    <numFmt numFmtId="166" formatCode="#,###&quot; kgCO2&quot;"/>
    <numFmt numFmtId="167" formatCode="#,###&quot; m2&quot;"/>
  </numFmts>
  <fonts count="1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b/>
      <sz val="20"/>
      <color rgb="FFFA7D00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4"/>
      <color theme="1"/>
      <name val="Aptos Display"/>
      <family val="2"/>
      <scheme val="major"/>
    </font>
    <font>
      <sz val="11"/>
      <color theme="1"/>
      <name val="Aptos Narrow"/>
      <family val="2"/>
      <scheme val="minor"/>
    </font>
    <font>
      <u/>
      <sz val="26"/>
      <color theme="1"/>
      <name val="Aptos Narrow"/>
      <family val="2"/>
      <scheme val="minor"/>
    </font>
    <font>
      <b/>
      <sz val="26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22"/>
      <color theme="1"/>
      <name val="Aptos Narrow"/>
      <family val="2"/>
      <scheme val="minor"/>
    </font>
    <font>
      <b/>
      <sz val="22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theme="4" tint="0.79998168889431442"/>
      </left>
      <right style="thin">
        <color theme="4" tint="0.79998168889431442"/>
      </right>
      <top style="thin">
        <color theme="4" tint="0.79998168889431442"/>
      </top>
      <bottom style="thin">
        <color theme="4" tint="0.79998168889431442"/>
      </bottom>
      <diagonal/>
    </border>
    <border>
      <left/>
      <right style="thin">
        <color theme="4" tint="0.79998168889431442"/>
      </right>
      <top/>
      <bottom/>
      <diagonal/>
    </border>
    <border>
      <left/>
      <right style="thin">
        <color theme="4" tint="0.79998168889431442"/>
      </right>
      <top style="thin">
        <color theme="4" tint="0.79998168889431442"/>
      </top>
      <bottom style="thin">
        <color theme="4" tint="0.79998168889431442"/>
      </bottom>
      <diagonal/>
    </border>
    <border>
      <left style="thin">
        <color theme="4" tint="0.79998168889431442"/>
      </left>
      <right style="thin">
        <color theme="4" tint="0.79998168889431442"/>
      </right>
      <top style="thin">
        <color theme="4" tint="0.79998168889431442"/>
      </top>
      <bottom style="thin">
        <color theme="3" tint="0.59999389629810485"/>
      </bottom>
      <diagonal/>
    </border>
    <border>
      <left style="thin">
        <color theme="4" tint="0.79998168889431442"/>
      </left>
      <right style="thin">
        <color theme="4" tint="0.79998168889431442"/>
      </right>
      <top style="thin">
        <color theme="4" tint="0.79998168889431442"/>
      </top>
      <bottom/>
      <diagonal/>
    </border>
  </borders>
  <cellStyleXfs count="3">
    <xf numFmtId="0" fontId="0" fillId="0" borderId="0"/>
    <xf numFmtId="0" fontId="4" fillId="2" borderId="7" applyNumberFormat="0" applyAlignment="0" applyProtection="0"/>
    <xf numFmtId="0" fontId="8" fillId="4" borderId="0" applyNumberFormat="0" applyBorder="0" applyAlignment="0" applyProtection="0"/>
  </cellStyleXfs>
  <cellXfs count="67">
    <xf numFmtId="0" fontId="0" fillId="0" borderId="0" xfId="0"/>
    <xf numFmtId="0" fontId="0" fillId="0" borderId="0" xfId="0" applyAlignment="1">
      <alignment horizontal="left"/>
    </xf>
    <xf numFmtId="0" fontId="0" fillId="0" borderId="1" xfId="0" applyBorder="1" applyAlignment="1">
      <alignment horizontal="center" vertical="center"/>
    </xf>
    <xf numFmtId="0" fontId="0" fillId="0" borderId="6" xfId="0" applyBorder="1"/>
    <xf numFmtId="0" fontId="0" fillId="0" borderId="0" xfId="0" applyAlignment="1">
      <alignment wrapText="1"/>
    </xf>
    <xf numFmtId="0" fontId="2" fillId="0" borderId="0" xfId="0" applyFont="1"/>
    <xf numFmtId="10" fontId="0" fillId="0" borderId="0" xfId="0" applyNumberFormat="1"/>
    <xf numFmtId="0" fontId="5" fillId="3" borderId="0" xfId="1" applyFont="1" applyFill="1" applyBorder="1" applyAlignment="1">
      <alignment horizontal="right"/>
    </xf>
    <xf numFmtId="165" fontId="5" fillId="3" borderId="0" xfId="1" applyNumberFormat="1" applyFont="1" applyFill="1" applyBorder="1" applyAlignment="1">
      <alignment horizontal="left"/>
    </xf>
    <xf numFmtId="0" fontId="0" fillId="0" borderId="0" xfId="0" applyAlignment="1">
      <alignment horizontal="left" textRotation="45"/>
    </xf>
    <xf numFmtId="0" fontId="0" fillId="0" borderId="0" xfId="0" applyAlignment="1">
      <alignment horizontal="left" textRotation="45" wrapText="1"/>
    </xf>
    <xf numFmtId="0" fontId="0" fillId="0" borderId="0" xfId="0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10" fontId="0" fillId="0" borderId="0" xfId="0" applyNumberFormat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2" fontId="0" fillId="0" borderId="8" xfId="0" applyNumberFormat="1" applyBorder="1" applyAlignment="1">
      <alignment horizontal="center" vertical="center" wrapText="1"/>
    </xf>
    <xf numFmtId="164" fontId="0" fillId="0" borderId="8" xfId="0" applyNumberFormat="1" applyBorder="1" applyAlignment="1">
      <alignment horizontal="center" vertical="center" wrapText="1"/>
    </xf>
    <xf numFmtId="10" fontId="0" fillId="0" borderId="8" xfId="0" applyNumberForma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2" fontId="0" fillId="0" borderId="0" xfId="0" applyNumberFormat="1" applyAlignment="1">
      <alignment horizontal="center" wrapText="1"/>
    </xf>
    <xf numFmtId="164" fontId="0" fillId="0" borderId="0" xfId="0" applyNumberFormat="1" applyAlignment="1">
      <alignment horizontal="center" wrapText="1"/>
    </xf>
    <xf numFmtId="10" fontId="0" fillId="0" borderId="0" xfId="0" applyNumberFormat="1" applyAlignment="1">
      <alignment horizontal="center" wrapText="1"/>
    </xf>
    <xf numFmtId="166" fontId="5" fillId="3" borderId="0" xfId="1" applyNumberFormat="1" applyFont="1" applyFill="1" applyBorder="1" applyAlignment="1">
      <alignment horizontal="left"/>
    </xf>
    <xf numFmtId="166" fontId="0" fillId="0" borderId="0" xfId="0" applyNumberFormat="1" applyAlignment="1">
      <alignment horizontal="center" wrapText="1"/>
    </xf>
    <xf numFmtId="0" fontId="6" fillId="0" borderId="0" xfId="0" applyFont="1" applyAlignment="1">
      <alignment textRotation="45"/>
    </xf>
    <xf numFmtId="0" fontId="7" fillId="0" borderId="0" xfId="0" applyFont="1" applyAlignment="1">
      <alignment textRotation="45"/>
    </xf>
    <xf numFmtId="0" fontId="6" fillId="0" borderId="0" xfId="0" applyFont="1"/>
    <xf numFmtId="166" fontId="0" fillId="0" borderId="0" xfId="0" applyNumberFormat="1"/>
    <xf numFmtId="0" fontId="0" fillId="0" borderId="0" xfId="0" applyAlignment="1">
      <alignment horizontal="left" indent="1"/>
    </xf>
    <xf numFmtId="164" fontId="0" fillId="0" borderId="0" xfId="0" applyNumberFormat="1"/>
    <xf numFmtId="0" fontId="0" fillId="0" borderId="0" xfId="0" applyAlignment="1">
      <alignment horizontal="left" indent="2"/>
    </xf>
    <xf numFmtId="0" fontId="6" fillId="0" borderId="0" xfId="0" pivotButton="1" applyFont="1"/>
    <xf numFmtId="0" fontId="0" fillId="0" borderId="3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9" fillId="0" borderId="10" xfId="0" applyFont="1" applyBorder="1"/>
    <xf numFmtId="0" fontId="9" fillId="0" borderId="0" xfId="0" applyFont="1"/>
    <xf numFmtId="0" fontId="9" fillId="0" borderId="11" xfId="0" applyFont="1" applyBorder="1"/>
    <xf numFmtId="0" fontId="8" fillId="4" borderId="10" xfId="2" applyBorder="1" applyAlignment="1">
      <alignment horizontal="center" vertical="center"/>
    </xf>
    <xf numFmtId="0" fontId="8" fillId="4" borderId="0" xfId="2" applyAlignment="1">
      <alignment horizontal="center" vertical="center"/>
    </xf>
    <xf numFmtId="0" fontId="8" fillId="4" borderId="11" xfId="2" applyBorder="1" applyAlignment="1">
      <alignment horizontal="center" vertical="center"/>
    </xf>
    <xf numFmtId="14" fontId="0" fillId="0" borderId="8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textRotation="45"/>
    </xf>
    <xf numFmtId="0" fontId="0" fillId="0" borderId="0" xfId="0" applyAlignment="1">
      <alignment textRotation="45"/>
    </xf>
    <xf numFmtId="10" fontId="0" fillId="0" borderId="0" xfId="0" applyNumberFormat="1" applyAlignment="1">
      <alignment textRotation="45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vertical="center"/>
    </xf>
    <xf numFmtId="0" fontId="0" fillId="0" borderId="13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14" fillId="0" borderId="0" xfId="0" applyFont="1" applyAlignment="1">
      <alignment vertical="center"/>
    </xf>
    <xf numFmtId="167" fontId="0" fillId="0" borderId="0" xfId="0" applyNumberFormat="1"/>
    <xf numFmtId="0" fontId="11" fillId="0" borderId="0" xfId="0" applyFont="1" applyAlignment="1">
      <alignment horizontal="center"/>
    </xf>
    <xf numFmtId="0" fontId="10" fillId="0" borderId="5" xfId="0" applyFont="1" applyBorder="1" applyAlignment="1">
      <alignment horizontal="center"/>
    </xf>
    <xf numFmtId="0" fontId="10" fillId="0" borderId="9" xfId="0" applyFont="1" applyBorder="1" applyAlignment="1">
      <alignment horizontal="center"/>
    </xf>
    <xf numFmtId="0" fontId="10" fillId="0" borderId="4" xfId="0" applyFont="1" applyBorder="1" applyAlignment="1">
      <alignment horizontal="center"/>
    </xf>
    <xf numFmtId="0" fontId="0" fillId="0" borderId="0" xfId="0"/>
    <xf numFmtId="0" fontId="12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0" borderId="10" xfId="0" applyFont="1" applyBorder="1" applyAlignment="1">
      <alignment horizontal="center" vertical="center"/>
    </xf>
  </cellXfs>
  <cellStyles count="3">
    <cellStyle name="60% - Accent6" xfId="2" builtinId="52"/>
    <cellStyle name="Calculation" xfId="1" builtinId="22"/>
    <cellStyle name="Normal" xfId="0" builtinId="0"/>
  </cellStyles>
  <dxfs count="89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border outline="0">
        <right style="thin">
          <color indexed="64"/>
        </right>
      </border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 style="thin">
          <color theme="4" tint="0.79998168889431442"/>
        </left>
        <right style="thin">
          <color theme="4" tint="0.79998168889431442"/>
        </right>
        <top style="thin">
          <color theme="4" tint="0.79998168889431442"/>
        </top>
        <bottom style="thin">
          <color theme="4" tint="0.79998168889431442"/>
        </bottom>
        <vertical style="thin">
          <color theme="4" tint="0.79998168889431442"/>
        </vertical>
        <horizontal style="thin">
          <color theme="4" tint="0.79998168889431442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4" tint="0.79998168889431442"/>
        </left>
        <right style="thin">
          <color theme="4" tint="0.79998168889431442"/>
        </right>
        <top style="thin">
          <color theme="4" tint="0.79998168889431442"/>
        </top>
        <bottom style="thin">
          <color theme="4" tint="0.79998168889431442"/>
        </bottom>
        <vertical style="thin">
          <color theme="4" tint="0.79998168889431442"/>
        </vertical>
        <horizontal style="thin">
          <color theme="4" tint="0.79998168889431442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4" tint="0.79998168889431442"/>
        </left>
        <right style="thin">
          <color theme="4" tint="0.79998168889431442"/>
        </right>
        <top style="thin">
          <color theme="4" tint="0.79998168889431442"/>
        </top>
        <bottom style="thin">
          <color theme="4" tint="0.79998168889431442"/>
        </bottom>
        <vertical style="thin">
          <color theme="4" tint="0.79998168889431442"/>
        </vertical>
        <horizontal style="thin">
          <color theme="4" tint="0.79998168889431442"/>
        </horizontal>
      </border>
    </dxf>
    <dxf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numFmt numFmtId="14" formatCode="0.00\ %"/>
      <alignment horizontal="center" vertical="bottom" textRotation="0" wrapText="1" indent="0" justifyLastLine="0" shrinkToFit="0" readingOrder="0"/>
    </dxf>
    <dxf>
      <numFmt numFmtId="166" formatCode="#,###&quot; kgCO2&quot;"/>
      <alignment horizontal="center" vertical="bottom" textRotation="0" wrapText="1" indent="0" justifyLastLine="0" shrinkToFit="0" readingOrder="0"/>
    </dxf>
    <dxf>
      <numFmt numFmtId="166" formatCode="#,###&quot; kgCO2&quot;"/>
      <alignment horizontal="center" vertical="bottom" textRotation="0" wrapText="1" indent="0" justifyLastLine="0" shrinkToFit="0" readingOrder="0"/>
    </dxf>
    <dxf>
      <numFmt numFmtId="166" formatCode="#,###&quot; kgCO2&quot;"/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</font>
      <alignment horizontal="general" vertical="bottom" textRotation="45" wrapText="0" indent="0" justifyLastLine="0" shrinkToFit="0" readingOrder="0"/>
    </dxf>
    <dxf>
      <numFmt numFmtId="167" formatCode="#,###&quot; m2&quot;"/>
    </dxf>
    <dxf>
      <alignment horizontal="left" vertical="bottom" textRotation="45" wrapText="0" indent="0" justifyLastLine="0" shrinkToFit="0" readingOrder="0"/>
    </dxf>
    <dxf>
      <numFmt numFmtId="14" formatCode="0.00\ %"/>
    </dxf>
    <dxf>
      <numFmt numFmtId="14" formatCode="0.00\ %"/>
    </dxf>
    <dxf>
      <numFmt numFmtId="14" formatCode="0.00\ %"/>
    </dxf>
    <dxf>
      <numFmt numFmtId="14" formatCode="0.00\ %"/>
    </dxf>
    <dxf>
      <alignment horizontal="general" vertical="bottom" textRotation="45" wrapText="0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numFmt numFmtId="164" formatCode="#,##0.00\ &quot;€&quot;"/>
      <alignment horizontal="center" vertical="bottom" textRotation="0" wrapText="1" indent="0" justifyLastLine="0" shrinkToFit="0" readingOrder="0"/>
    </dxf>
    <dxf>
      <numFmt numFmtId="14" formatCode="0.00\ %"/>
      <alignment horizontal="center" vertical="bottom" textRotation="0" wrapText="1" indent="0" justifyLastLine="0" shrinkToFit="0" readingOrder="0"/>
    </dxf>
    <dxf>
      <numFmt numFmtId="164" formatCode="#,##0.00\ &quot;€&quot;"/>
      <alignment horizontal="center" vertical="bottom" textRotation="0" wrapText="1" indent="0" justifyLastLine="0" shrinkToFit="0" readingOrder="0"/>
    </dxf>
    <dxf>
      <numFmt numFmtId="2" formatCode="0.00"/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left" vertical="bottom" textRotation="45" wrapText="0" indent="0" justifyLastLine="0" shrinkToFit="0" readingOrder="0"/>
    </dxf>
    <dxf>
      <numFmt numFmtId="14" formatCode="0.00\ %"/>
    </dxf>
    <dxf>
      <numFmt numFmtId="14" formatCode="0.00\ %"/>
    </dxf>
    <dxf>
      <numFmt numFmtId="14" formatCode="0.00\ %"/>
    </dxf>
    <dxf>
      <alignment horizontal="general" vertical="bottom" textRotation="45" wrapText="0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164" formatCode="#,##0.00\ &quot;€&quot;"/>
      <alignment horizontal="center" vertical="center" textRotation="0" wrapText="1" indent="0" justifyLastLine="0" shrinkToFit="0" readingOrder="0"/>
    </dxf>
    <dxf>
      <numFmt numFmtId="14" formatCode="0.00\ %"/>
      <alignment horizontal="center" vertical="center" textRotation="0" wrapText="1" indent="0" justifyLastLine="0" shrinkToFit="0" readingOrder="0"/>
    </dxf>
    <dxf>
      <numFmt numFmtId="164" formatCode="#,##0.00\ &quot;€&quot;"/>
      <alignment horizontal="center" vertical="center" textRotation="0" wrapText="1" indent="0" justifyLastLine="0" shrinkToFit="0" readingOrder="0"/>
    </dxf>
    <dxf>
      <numFmt numFmtId="2" formatCode="0.00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left" vertical="bottom" textRotation="45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d/m/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Relationship Id="rId14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11.369931365742" createdVersion="8" refreshedVersion="8" minRefreshableVersion="3" recordCount="26" xr:uid="{474BF3E5-BCC9-436E-8675-EE87480F346B}">
  <cacheSource type="worksheet">
    <worksheetSource name="table_kustannukset"/>
  </cacheSource>
  <cacheFields count="13">
    <cacheField name="YLÄKATEGORIA" numFmtId="0">
      <sharedItems count="3">
        <s v="Talonrakentaminen"/>
        <s v="Infrarakentaminen"/>
        <s v="Maanhankinta"/>
      </sharedItems>
    </cacheField>
    <cacheField name="ALAKATEGORIA" numFmtId="0">
      <sharedItems count="23">
        <s v="Esirakentaminen"/>
        <s v="Maaperän kunnostaminen"/>
        <s v="Rakenteiden muutokset ja purut"/>
        <s v="Talonrakentaminen"/>
        <s v="Palvelutilarakennusten rakentaminen"/>
        <s v="Palvelutilarakennusten kunnossapito"/>
        <s v="Melusuojat"/>
        <s v="Ympäristösuojat"/>
        <s v="Tie- ja katuverkon rakentaminen"/>
        <s v="Kunnallistekniikan rakentaminen"/>
        <s v="Vesihuolto"/>
        <s v="Hulevesien hallinta"/>
        <s v="Energiahuolto"/>
        <s v="Puistojen ja yleisten alueiden rakentaminen"/>
        <s v="Taitorakenteet"/>
        <s v="Raitiotie"/>
        <s v="Pysäköinti"/>
        <s v="Tie- ja katuverkon kunnossapito"/>
        <s v="Kunnallistekniikan kunnossapito"/>
        <s v="Puistojen ja yleisten alueiden kunnossapito"/>
        <s v="Maan osto"/>
        <s v="Maan lunastus"/>
        <s v="Sillat (taitorakenteet)" u="1"/>
      </sharedItems>
    </cacheField>
    <cacheField name="OSATEKIJÄ" numFmtId="0">
      <sharedItems containsBlank="1"/>
    </cacheField>
    <cacheField name="MÄÄRÄ" numFmtId="2">
      <sharedItems containsSemiMixedTypes="0" containsString="0" containsNumber="1" containsInteger="1" minValue="1" maxValue="11"/>
    </cacheField>
    <cacheField name="YKSIKKÖHINTA" numFmtId="164">
      <sharedItems containsSemiMixedTypes="0" containsString="0" containsNumber="1" containsInteger="1" minValue="0" maxValue="20000"/>
    </cacheField>
    <cacheField name="VARAUKSET" numFmtId="10">
      <sharedItems containsSemiMixedTypes="0" containsString="0" containsNumber="1" minValue="0" maxValue="0.5"/>
    </cacheField>
    <cacheField name="KOKONAISKUSTANNUS" numFmtId="164">
      <sharedItems containsSemiMixedTypes="0" containsString="0" containsNumber="1" containsInteger="1" minValue="0" maxValue="24600"/>
    </cacheField>
    <cacheField name="OSAPUOLI" numFmtId="0">
      <sharedItems/>
    </cacheField>
    <cacheField name="PÄÄOMA- VAI KÄYTTÖTALOUS" numFmtId="0">
      <sharedItems/>
    </cacheField>
    <cacheField name="AJOITTUMINEN" numFmtId="0">
      <sharedItems/>
    </cacheField>
    <cacheField name="KERTYMÄVUODET" numFmtId="0">
      <sharedItems containsString="0" containsBlank="1" containsNumber="1" containsInteger="1" minValue="3" maxValue="59"/>
    </cacheField>
    <cacheField name="OHJEET ARVON NOUTOON" numFmtId="0">
      <sharedItems containsBlank="1"/>
    </cacheField>
    <cacheField name="LISÄTIEDOT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11.369993865737" createdVersion="8" refreshedVersion="8" minRefreshableVersion="3" recordCount="9" xr:uid="{7AF0A77F-DD78-4F63-8ED2-0CDA8825985F}">
  <cacheSource type="worksheet">
    <worksheetSource name="table_tulot"/>
  </cacheSource>
  <cacheFields count="12">
    <cacheField name="YLÄKATEGORIA" numFmtId="0">
      <sharedItems count="4">
        <s v="Maan myynti tai vuokraus"/>
        <s v="Maankäyttötulot"/>
        <s v="Verotulot"/>
        <s v="Verkostomaksut"/>
      </sharedItems>
    </cacheField>
    <cacheField name="ALAKATEGORIA" numFmtId="0">
      <sharedItems count="9">
        <s v="Maan myynti"/>
        <s v="Maan vuokraus"/>
        <s v="Maankäyttömaksut"/>
        <s v="Kunnallisvero"/>
        <s v="Kiinteistövero"/>
        <s v="Käyttömaksut, vesi"/>
        <s v="Käyttömaksut, energia"/>
        <s v="Liittymismaksut, vesi"/>
        <s v="Liittymismaksut, energia"/>
      </sharedItems>
    </cacheField>
    <cacheField name="OSATEKIJÄ" numFmtId="0">
      <sharedItems containsNonDate="0" containsString="0" containsBlank="1"/>
    </cacheField>
    <cacheField name="MÄÄRÄ" numFmtId="2">
      <sharedItems containsSemiMixedTypes="0" containsString="0" containsNumber="1" containsInteger="1" minValue="1" maxValue="100"/>
    </cacheField>
    <cacheField name="YKSIKKÖHINTA" numFmtId="164">
      <sharedItems containsSemiMixedTypes="0" containsString="0" containsNumber="1" containsInteger="1" minValue="0" maxValue="1000000"/>
    </cacheField>
    <cacheField name="VARAUKSET" numFmtId="10">
      <sharedItems containsSemiMixedTypes="0" containsString="0" containsNumber="1" containsInteger="1" minValue="0" maxValue="0"/>
    </cacheField>
    <cacheField name="KOKONAISTULOT" numFmtId="164">
      <sharedItems containsSemiMixedTypes="0" containsString="0" containsNumber="1" containsInteger="1" minValue="0" maxValue="23000000"/>
    </cacheField>
    <cacheField name="OSAPUOLI" numFmtId="0">
      <sharedItems/>
    </cacheField>
    <cacheField name="KERTYMÄVUODET" numFmtId="0">
      <sharedItems containsString="0" containsBlank="1" containsNumber="1" containsInteger="1" minValue="23" maxValue="60"/>
    </cacheField>
    <cacheField name="PÄÄOMA- VAI KÄYTTÖTALOUS" numFmtId="0">
      <sharedItems/>
    </cacheField>
    <cacheField name="OHJEET ARVON NOUTOON" numFmtId="0">
      <sharedItems containsBlank="1"/>
    </cacheField>
    <cacheField name="LISÄTIEDOT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11.370715972225" createdVersion="8" refreshedVersion="8" minRefreshableVersion="3" recordCount="16" xr:uid="{BEF8D3B0-4DF5-48E7-8051-678B0F038125}">
  <cacheSource type="worksheet">
    <worksheetSource name="table_päästöt"/>
  </cacheSource>
  <cacheFields count="11">
    <cacheField name="PÄÄSTÖLUOKKA" numFmtId="0">
      <sharedItems count="8">
        <s v="Energiahuolto"/>
        <s v="Julkisten palvelutilojen rakentaminen"/>
        <s v="Katujen rakentaminen"/>
        <s v="Puistojen rakentaminen"/>
        <s v="Rakentamiskelpoiseksi saattaminen"/>
        <s v="Sillat"/>
        <s v="Vesihuolto"/>
        <s v="Purkaminen" u="1"/>
      </sharedItems>
    </cacheField>
    <cacheField name="YLÄKATEGORIA" numFmtId="0">
      <sharedItems count="2">
        <s v="Infrarakentaminen"/>
        <s v="Talonrakentaminen"/>
      </sharedItems>
    </cacheField>
    <cacheField name="ALAKATEGORIA" numFmtId="0">
      <sharedItems count="14">
        <s v="Energiahuolto"/>
        <s v="Palvelutilarakennusten rakentaminen"/>
        <s v="Melusuojat"/>
        <s v="Ympäristösuojat"/>
        <s v="Tie- ja katuverkon rakentaminen"/>
        <s v="Puistojen ja yleisten alueiden rakentaminen"/>
        <s v="Esirakentaminen"/>
        <s v="Maaperän kunnostaminen"/>
        <s v="Rakenteiden muutokset ja purut"/>
        <s v="Kunnallistekniikan rakentaminen"/>
        <s v="Taitorakenteet"/>
        <s v="Vesihuolto"/>
        <s v="Vesiverkon purku" u="1"/>
        <s v="Rakennusten purku" u="1"/>
      </sharedItems>
    </cacheField>
    <cacheField name="OSATEKIJÄ" numFmtId="0">
      <sharedItems/>
    </cacheField>
    <cacheField name="PÄÄSTÖT" numFmtId="166">
      <sharedItems containsSemiMixedTypes="0" containsString="0" containsNumber="1" containsInteger="1" minValue="0" maxValue="240000"/>
    </cacheField>
    <cacheField name="OSAPUOLI" numFmtId="166">
      <sharedItems containsBlank="1"/>
    </cacheField>
    <cacheField name="AJOITTUMINEN" numFmtId="166">
      <sharedItems/>
    </cacheField>
    <cacheField name="PROSENTIT KOKONAISPÄÄSTÖISTÄ" numFmtId="10">
      <sharedItems containsSemiMixedTypes="0" containsString="0" containsNumber="1" minValue="0" maxValue="0.2247191011235955"/>
    </cacheField>
    <cacheField name="PÄÄSTÖJEN SAANTI" numFmtId="0">
      <sharedItems containsBlank="1"/>
    </cacheField>
    <cacheField name="OHJEET ARVON NOUTOON" numFmtId="0">
      <sharedItems containsNonDate="0" containsString="0" containsBlank="1"/>
    </cacheField>
    <cacheField name="LISÄTIEDOT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6">
  <r>
    <x v="0"/>
    <x v="0"/>
    <m/>
    <n v="1"/>
    <n v="20000"/>
    <n v="0.23"/>
    <n v="24600"/>
    <s v="Tampereen kaupunki"/>
    <s v="Pääomatalous"/>
    <s v="Rakentaminen"/>
    <m/>
    <s v="Tieto selvitetään KITIA:lta"/>
    <m/>
  </r>
  <r>
    <x v="0"/>
    <x v="1"/>
    <m/>
    <n v="1"/>
    <n v="0"/>
    <n v="0"/>
    <n v="0"/>
    <s v="Tampereen kaupunki"/>
    <s v="Pääomatalous"/>
    <s v="Rakentaminen"/>
    <m/>
    <s v="Tieto selvitetään KITIA:lta"/>
    <m/>
  </r>
  <r>
    <x v="0"/>
    <x v="2"/>
    <m/>
    <n v="1"/>
    <n v="0"/>
    <n v="0"/>
    <n v="0"/>
    <s v="Tampereen kaupunki"/>
    <s v="Pääomatalous"/>
    <s v="Rakentaminen"/>
    <m/>
    <s v="Tieto selvitetään KITIA:lta"/>
    <m/>
  </r>
  <r>
    <x v="0"/>
    <x v="3"/>
    <s v="Kaavaillut rakennukset"/>
    <n v="1"/>
    <n v="0"/>
    <n v="0.25"/>
    <n v="0"/>
    <s v="Tampereen kaupunki"/>
    <s v="Pääomatalous"/>
    <s v="Rakentaminen"/>
    <m/>
    <s v="Tieto selvitetään KITIA:lta"/>
    <m/>
  </r>
  <r>
    <x v="0"/>
    <x v="4"/>
    <s v="Uusi palvelutilarakennus"/>
    <n v="1"/>
    <n v="0"/>
    <n v="0.5"/>
    <n v="0"/>
    <s v="Tampereen kaupunki"/>
    <s v="Pääomatalous"/>
    <s v="Rakentaminen"/>
    <m/>
    <s v="Tieto selvitetään KITIA:lta"/>
    <m/>
  </r>
  <r>
    <x v="0"/>
    <x v="5"/>
    <m/>
    <n v="1"/>
    <n v="0"/>
    <n v="0"/>
    <n v="0"/>
    <s v="Tampereen kaupunki"/>
    <s v="Käyttötalous"/>
    <s v="Käyttö"/>
    <m/>
    <s v="Tieto selvitetään KITIA:lta"/>
    <m/>
  </r>
  <r>
    <x v="1"/>
    <x v="0"/>
    <s v="Massanvaihto"/>
    <n v="1"/>
    <n v="0"/>
    <n v="0"/>
    <n v="0"/>
    <s v="Tampereen kaupunki"/>
    <s v="Pääomatalous"/>
    <s v="Rakentaminen"/>
    <m/>
    <s v="Kustannus lasketaan Ihku-laskentapalvelussa"/>
    <m/>
  </r>
  <r>
    <x v="1"/>
    <x v="1"/>
    <s v="Pilaantuneen maan poisto"/>
    <n v="1"/>
    <n v="0"/>
    <n v="0"/>
    <n v="0"/>
    <s v="Tampereen kaupunki"/>
    <s v="Pääomatalous"/>
    <s v="Rakentaminen"/>
    <n v="59"/>
    <s v="Kustannus lasketaan Ihku-laskentapalvelussa"/>
    <m/>
  </r>
  <r>
    <x v="1"/>
    <x v="2"/>
    <s v="Putken purku"/>
    <n v="1"/>
    <n v="0"/>
    <n v="0"/>
    <n v="0"/>
    <s v="Tampereen kaupunki"/>
    <s v="Pääomatalous"/>
    <s v="Rakentaminen"/>
    <m/>
    <s v="Kustannus lasketaan Ihku-laskentapalvelussa"/>
    <m/>
  </r>
  <r>
    <x v="1"/>
    <x v="6"/>
    <s v="Meluseinä"/>
    <n v="11"/>
    <n v="0"/>
    <n v="0.23"/>
    <n v="0"/>
    <s v="Tampereen kaupunki"/>
    <s v="Pääomatalous"/>
    <s v="Rakentaminen"/>
    <m/>
    <s v="Kustannus lasketaan Ihku-laskentapalvelussa"/>
    <m/>
  </r>
  <r>
    <x v="1"/>
    <x v="7"/>
    <s v="Ympäristösuoja"/>
    <n v="1"/>
    <n v="0"/>
    <n v="0"/>
    <n v="0"/>
    <s v="Tampereen kaupunki"/>
    <s v="Pääomatalous"/>
    <s v="Rakentaminen"/>
    <n v="38"/>
    <s v="Kustannus lasketaan Ihku-laskentapalvelussa"/>
    <m/>
  </r>
  <r>
    <x v="1"/>
    <x v="8"/>
    <s v="Alueellinen kokoojakatu"/>
    <n v="1"/>
    <n v="0"/>
    <n v="0"/>
    <n v="0"/>
    <s v="Tampereen kaupunki"/>
    <s v="Pääomatalous"/>
    <s v="Rakentaminen"/>
    <n v="4"/>
    <s v="Kustannus lasketaan Ihku-laskentapalvelussa"/>
    <m/>
  </r>
  <r>
    <x v="1"/>
    <x v="9"/>
    <m/>
    <n v="1"/>
    <n v="0"/>
    <n v="0"/>
    <n v="0"/>
    <s v="Tampereen kaupunki"/>
    <s v="Pääomatalous"/>
    <s v="Rakentaminen"/>
    <n v="3"/>
    <s v="Kustannus lasketaan Ihku-laskentapalvelussa"/>
    <m/>
  </r>
  <r>
    <x v="1"/>
    <x v="10"/>
    <s v="Vesihuollon järjestelmä"/>
    <n v="1"/>
    <n v="0"/>
    <n v="0"/>
    <n v="0"/>
    <s v="Tampereen vesi"/>
    <s v="Pääomatalous"/>
    <s v="Rakentaminen"/>
    <n v="4"/>
    <s v="Kustannus lasketaan Ihku-laskentapalvelussa"/>
    <m/>
  </r>
  <r>
    <x v="1"/>
    <x v="11"/>
    <s v="Hulevesien hallinta"/>
    <n v="1"/>
    <n v="0"/>
    <n v="0"/>
    <n v="0"/>
    <s v="Tampereen kaupunki"/>
    <s v="Pääomatalous"/>
    <s v="Rakentaminen"/>
    <n v="5"/>
    <m/>
    <m/>
  </r>
  <r>
    <x v="1"/>
    <x v="12"/>
    <s v="Kaukolämpöjärjestelmä"/>
    <n v="1"/>
    <n v="0"/>
    <n v="0"/>
    <n v="0"/>
    <s v="Tampereen energia"/>
    <s v="Pääomatalous"/>
    <s v="Rakentaminen"/>
    <n v="6"/>
    <s v="Kustannus lasketaan Ihku-laskentapalvelussa"/>
    <m/>
  </r>
  <r>
    <x v="1"/>
    <x v="13"/>
    <s v="Puistoaukio"/>
    <n v="1"/>
    <n v="0"/>
    <n v="0"/>
    <n v="0"/>
    <s v="Tampereen kaupunki"/>
    <s v="Pääomatalous"/>
    <s v="Rakentaminen"/>
    <n v="59"/>
    <s v="Kustannus lasketaan Ihku-laskentapalvelussa"/>
    <m/>
  </r>
  <r>
    <x v="1"/>
    <x v="13"/>
    <s v="Aluevalaistus"/>
    <n v="1"/>
    <n v="0"/>
    <n v="0"/>
    <n v="0"/>
    <s v="Tampereen kaupunki"/>
    <s v="Pääomatalous"/>
    <s v="Rakentaminen"/>
    <m/>
    <s v="Kustannus lasketaan Ihku-laskentapalvelussa"/>
    <m/>
  </r>
  <r>
    <x v="1"/>
    <x v="14"/>
    <s v="Alikulkukäytävä"/>
    <n v="1"/>
    <n v="0"/>
    <n v="0"/>
    <n v="0"/>
    <s v="Tampereen kaupunki"/>
    <s v="Pääomatalous"/>
    <s v="Rakentaminen"/>
    <m/>
    <s v="Kustannus lasketaan Ihku-laskentapalvelussa"/>
    <m/>
  </r>
  <r>
    <x v="1"/>
    <x v="15"/>
    <m/>
    <n v="1"/>
    <n v="0"/>
    <n v="0"/>
    <n v="0"/>
    <s v="Raitiotie-allianssi"/>
    <s v="Pääomatalous"/>
    <s v="Rakentaminen"/>
    <m/>
    <s v="Kustannus saadaan Raitiotie-allianssilta"/>
    <m/>
  </r>
  <r>
    <x v="1"/>
    <x v="16"/>
    <m/>
    <n v="1"/>
    <n v="0"/>
    <n v="0"/>
    <n v="0"/>
    <s v="Tampereen kaupunki"/>
    <s v="Pääomatalous"/>
    <s v="Rakentaminen"/>
    <m/>
    <s v="Kustannus lasketaan pysäköintipolitiikan perusteella"/>
    <m/>
  </r>
  <r>
    <x v="1"/>
    <x v="17"/>
    <m/>
    <n v="1"/>
    <n v="0"/>
    <n v="0"/>
    <n v="0"/>
    <s v="Tampereen kaupunki"/>
    <s v="Käyttötalous"/>
    <s v="Käyttö"/>
    <m/>
    <m/>
    <m/>
  </r>
  <r>
    <x v="1"/>
    <x v="18"/>
    <m/>
    <n v="1"/>
    <n v="0"/>
    <n v="0"/>
    <n v="0"/>
    <s v="Tampereen kaupunki"/>
    <s v="Käyttötalous"/>
    <s v="Käyttö"/>
    <m/>
    <m/>
    <m/>
  </r>
  <r>
    <x v="1"/>
    <x v="19"/>
    <m/>
    <n v="2"/>
    <n v="0"/>
    <n v="0"/>
    <n v="0"/>
    <s v="Tampereen kaupunki"/>
    <s v="Käyttötalous"/>
    <s v="Käyttö"/>
    <m/>
    <m/>
    <m/>
  </r>
  <r>
    <x v="2"/>
    <x v="20"/>
    <m/>
    <n v="3"/>
    <n v="0"/>
    <n v="0"/>
    <n v="0"/>
    <s v="Tampereen kaupunki"/>
    <s v="Pääomatalous"/>
    <s v="Rakentaminen"/>
    <m/>
    <s v="Kaupungin maanhankintapäällikön konsultointi"/>
    <m/>
  </r>
  <r>
    <x v="2"/>
    <x v="21"/>
    <m/>
    <n v="4"/>
    <n v="0"/>
    <n v="0"/>
    <n v="0"/>
    <s v="Tampereen kaupunki"/>
    <s v="Pääomatalous"/>
    <s v="Rakentaminen"/>
    <m/>
    <s v="Kaupungin maanhankintapäällikön konsultointi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">
  <r>
    <x v="0"/>
    <x v="0"/>
    <m/>
    <n v="100"/>
    <n v="230000"/>
    <n v="0"/>
    <n v="23000000"/>
    <s v="Tampereen kaupunki"/>
    <m/>
    <s v="Pääomatalous"/>
    <s v="Tieto selvitetään KITIA:lta. Tieto perustuu vyöhykehinnastoihin."/>
    <m/>
  </r>
  <r>
    <x v="0"/>
    <x v="1"/>
    <m/>
    <n v="1"/>
    <n v="1000000"/>
    <n v="0"/>
    <n v="1000000"/>
    <s v="Tampereen kaupunki"/>
    <n v="30"/>
    <s v="Käyttötalous"/>
    <s v="Tieto selvitetään KITIA:lta. Tieto perustuu arvioon tulevasta arvonnoususta ja maan käyttötarkoitukseen."/>
    <m/>
  </r>
  <r>
    <x v="1"/>
    <x v="2"/>
    <m/>
    <n v="1"/>
    <n v="70000"/>
    <n v="0"/>
    <n v="70000"/>
    <s v="Tampereen kaupunki"/>
    <n v="40"/>
    <s v="Pääomatalous"/>
    <s v="Tieto selvitetään KITIA:lta. Maankäyttömaksujen tulee kattaa vähintään välittömät infran investointikustannukset."/>
    <m/>
  </r>
  <r>
    <x v="2"/>
    <x v="3"/>
    <m/>
    <n v="1"/>
    <n v="0"/>
    <n v="0"/>
    <n v="0"/>
    <s v="Tampereen kaupunki"/>
    <n v="50"/>
    <s v="Käyttötalous"/>
    <m/>
    <m/>
  </r>
  <r>
    <x v="2"/>
    <x v="4"/>
    <m/>
    <n v="1"/>
    <n v="0"/>
    <n v="0"/>
    <n v="0"/>
    <s v="Tampereen kaupunki"/>
    <n v="60"/>
    <s v="Käyttötalous"/>
    <m/>
    <m/>
  </r>
  <r>
    <x v="3"/>
    <x v="5"/>
    <m/>
    <n v="1"/>
    <n v="0"/>
    <n v="0"/>
    <n v="0"/>
    <s v="Tampereen vesi"/>
    <n v="23"/>
    <s v="Käyttötalous"/>
    <s v="Tampereen vedeltä saadaan tulot hinnastoon perustuen."/>
    <m/>
  </r>
  <r>
    <x v="3"/>
    <x v="6"/>
    <m/>
    <n v="1"/>
    <n v="0"/>
    <n v="0"/>
    <n v="0"/>
    <s v="Tampereen energia"/>
    <n v="53"/>
    <s v="Käyttötalous"/>
    <s v="Tampereen energialta saadaan tulot hinnastoon perustuen."/>
    <m/>
  </r>
  <r>
    <x v="3"/>
    <x v="7"/>
    <m/>
    <n v="1"/>
    <n v="0"/>
    <n v="0"/>
    <n v="0"/>
    <s v="Tampereen vesi"/>
    <n v="34"/>
    <s v="Pääomatalous"/>
    <s v="Tampereen vedeltä saadaan tulot hinnastoon perustuen."/>
    <m/>
  </r>
  <r>
    <x v="3"/>
    <x v="8"/>
    <m/>
    <n v="1"/>
    <n v="0"/>
    <n v="0"/>
    <n v="0"/>
    <s v="Tampereen energia"/>
    <m/>
    <s v="Pääomatalous"/>
    <s v="Tampereen energialta saadaan tulot hinnastoon perustuen."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">
  <r>
    <x v="0"/>
    <x v="0"/>
    <x v="0"/>
    <s v="Kaukolämpöjärjestelmä"/>
    <n v="7000"/>
    <s v="Tampereen energia"/>
    <s v="Rakentaminen"/>
    <n v="6.5543071161048693E-3"/>
    <s v="Ihkusta"/>
    <m/>
    <m/>
  </r>
  <r>
    <x v="1"/>
    <x v="1"/>
    <x v="1"/>
    <s v="Päiväkoti"/>
    <n v="240000"/>
    <s v="Tampereen kaupunki"/>
    <s v="Rakentaminen"/>
    <n v="0.2247191011235955"/>
    <s v="Syke CO2"/>
    <m/>
    <m/>
  </r>
  <r>
    <x v="2"/>
    <x v="0"/>
    <x v="2"/>
    <s v="Melusuoja"/>
    <n v="138000"/>
    <s v="Raitiotie-allianssi"/>
    <s v="Rakentaminen"/>
    <n v="0.12921348314606743"/>
    <s v="Ihkusta"/>
    <m/>
    <m/>
  </r>
  <r>
    <x v="2"/>
    <x v="0"/>
    <x v="3"/>
    <s v="Ympäristösuoja"/>
    <n v="0"/>
    <s v="Raitiotie-allianssi"/>
    <s v="Rakentaminen"/>
    <n v="0"/>
    <s v="Ihkusta"/>
    <m/>
    <m/>
  </r>
  <r>
    <x v="2"/>
    <x v="0"/>
    <x v="4"/>
    <s v="Kokoojakatu"/>
    <n v="237000"/>
    <m/>
    <s v="Rakentaminen"/>
    <n v="0.22191011235955055"/>
    <s v="Ihkusta"/>
    <m/>
    <m/>
  </r>
  <r>
    <x v="3"/>
    <x v="0"/>
    <x v="5"/>
    <s v="Puistoaukio"/>
    <n v="115000"/>
    <m/>
    <s v="Rakentaminen"/>
    <n v="0.10767790262172285"/>
    <s v="Ihkusta"/>
    <m/>
    <m/>
  </r>
  <r>
    <x v="3"/>
    <x v="0"/>
    <x v="5"/>
    <s v="Aluevalaistus"/>
    <n v="38000"/>
    <m/>
    <s v="Rakentaminen"/>
    <n v="3.5580524344569285E-2"/>
    <m/>
    <m/>
    <m/>
  </r>
  <r>
    <x v="4"/>
    <x v="0"/>
    <x v="6"/>
    <s v="Esirakentamisen kaivannot"/>
    <n v="138000"/>
    <m/>
    <s v="Rakentaminen"/>
    <n v="0.12921348314606743"/>
    <s v="Ihkusta (infra)"/>
    <m/>
    <m/>
  </r>
  <r>
    <x v="4"/>
    <x v="0"/>
    <x v="7"/>
    <s v="Maaperän kunnostaminen"/>
    <n v="10000"/>
    <m/>
    <s v="Rakentaminen"/>
    <n v="9.3632958801498131E-3"/>
    <s v="Ihkusta (infra)"/>
    <m/>
    <m/>
  </r>
  <r>
    <x v="4"/>
    <x v="0"/>
    <x v="8"/>
    <s v="Johtojen purku"/>
    <n v="2000"/>
    <m/>
    <s v="Purku"/>
    <n v="1.8726591760299626E-3"/>
    <s v="Ihkusta (infra)"/>
    <m/>
    <m/>
  </r>
  <r>
    <x v="4"/>
    <x v="0"/>
    <x v="9"/>
    <s v="Johtosiirrot"/>
    <n v="0"/>
    <m/>
    <s v="Rakentaminen"/>
    <n v="0"/>
    <m/>
    <m/>
    <m/>
  </r>
  <r>
    <x v="4"/>
    <x v="1"/>
    <x v="6"/>
    <s v="Esirakentaminen"/>
    <n v="7000"/>
    <m/>
    <s v="Rakentaminen"/>
    <n v="6.5543071161048693E-3"/>
    <s v="Syke CO2 ?"/>
    <m/>
    <m/>
  </r>
  <r>
    <x v="4"/>
    <x v="1"/>
    <x v="7"/>
    <s v="Pilaantuneen maan kunnostaminen"/>
    <n v="10000"/>
    <m/>
    <s v="Rakentaminen"/>
    <n v="9.3632958801498131E-3"/>
    <s v="Syke CO2 ?"/>
    <m/>
    <m/>
  </r>
  <r>
    <x v="4"/>
    <x v="1"/>
    <x v="8"/>
    <s v="Perustusten purku"/>
    <n v="0"/>
    <m/>
    <s v="Purku"/>
    <n v="0"/>
    <s v="Syke CO2 ?"/>
    <m/>
    <m/>
  </r>
  <r>
    <x v="5"/>
    <x v="0"/>
    <x v="10"/>
    <s v="Alikulkukäytävä"/>
    <n v="89000"/>
    <m/>
    <s v="Rakentaminen"/>
    <n v="8.3333333333333329E-2"/>
    <s v="Ihkusta"/>
    <m/>
    <m/>
  </r>
  <r>
    <x v="6"/>
    <x v="0"/>
    <x v="11"/>
    <s v="Vedenjakelujärjestelmä"/>
    <n v="37000"/>
    <m/>
    <s v="Rakentaminen"/>
    <n v="3.4644194756554308E-2"/>
    <s v="Ihkusta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500DAED-E6C3-4F93-9CE1-3BAEBB1539C2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KATEGORIAT">
  <location ref="D8:E22" firstHeaderRow="1" firstDataRow="1" firstDataCol="1"/>
  <pivotFields count="12">
    <pivotField axis="axisRow" showAll="0">
      <items count="5">
        <item x="0"/>
        <item x="1"/>
        <item x="3"/>
        <item x="2"/>
        <item t="default"/>
      </items>
    </pivotField>
    <pivotField axis="axisRow" showAll="0">
      <items count="10">
        <item x="4"/>
        <item x="3"/>
        <item x="6"/>
        <item x="5"/>
        <item x="8"/>
        <item x="7"/>
        <item x="0"/>
        <item x="1"/>
        <item x="2"/>
        <item t="default"/>
      </items>
    </pivotField>
    <pivotField showAll="0"/>
    <pivotField numFmtId="2" showAll="0"/>
    <pivotField numFmtId="164" showAll="0"/>
    <pivotField numFmtId="10" showAll="0"/>
    <pivotField dataField="1" numFmtId="164" showAll="0"/>
    <pivotField showAll="0"/>
    <pivotField showAll="0"/>
    <pivotField showAll="0"/>
    <pivotField showAll="0"/>
    <pivotField showAll="0"/>
  </pivotFields>
  <rowFields count="2">
    <field x="0"/>
    <field x="1"/>
  </rowFields>
  <rowItems count="14">
    <i>
      <x/>
    </i>
    <i r="1">
      <x v="6"/>
    </i>
    <i r="1">
      <x v="7"/>
    </i>
    <i>
      <x v="1"/>
    </i>
    <i r="1">
      <x v="8"/>
    </i>
    <i>
      <x v="2"/>
    </i>
    <i r="1">
      <x v="2"/>
    </i>
    <i r="1">
      <x v="3"/>
    </i>
    <i r="1">
      <x v="4"/>
    </i>
    <i r="1">
      <x v="5"/>
    </i>
    <i>
      <x v="3"/>
    </i>
    <i r="1">
      <x/>
    </i>
    <i r="1">
      <x v="1"/>
    </i>
    <i t="grand">
      <x/>
    </i>
  </rowItems>
  <colItems count="1">
    <i/>
  </colItems>
  <dataFields count="1">
    <dataField name="KOKONAISTULOT SUMMA" fld="6" baseField="0" baseItem="0" numFmtId="164"/>
  </dataFields>
  <formats count="2">
    <format dxfId="82">
      <pivotArea field="0" type="button" dataOnly="0" labelOnly="1" outline="0" axis="axisRow" fieldPosition="0"/>
    </format>
    <format dxfId="81">
      <pivotArea dataOnly="0" labelOnly="1" outline="0" axis="axisValues" fieldPosition="0"/>
    </format>
  </formats>
  <pivotTableStyleInfo name="PivotStyleLight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F34BFA-9D72-45A4-93B6-A397A5141904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KATEGORIAT">
  <location ref="A8:B35" firstHeaderRow="1" firstDataRow="1" firstDataCol="1"/>
  <pivotFields count="13">
    <pivotField axis="axisRow" showAll="0">
      <items count="4">
        <item x="1"/>
        <item sd="0" x="2"/>
        <item x="0"/>
        <item t="default"/>
      </items>
    </pivotField>
    <pivotField axis="axisRow" showAll="0">
      <items count="24">
        <item x="12"/>
        <item x="0"/>
        <item x="18"/>
        <item x="9"/>
        <item x="21"/>
        <item x="20"/>
        <item x="1"/>
        <item x="6"/>
        <item x="5"/>
        <item x="4"/>
        <item x="19"/>
        <item x="13"/>
        <item x="16"/>
        <item x="15"/>
        <item x="2"/>
        <item m="1" x="22"/>
        <item x="3"/>
        <item x="17"/>
        <item x="8"/>
        <item x="10"/>
        <item x="7"/>
        <item x="11"/>
        <item x="14"/>
        <item t="default"/>
      </items>
    </pivotField>
    <pivotField showAll="0"/>
    <pivotField numFmtId="2" showAll="0"/>
    <pivotField showAll="0"/>
    <pivotField numFmtId="10" showAll="0"/>
    <pivotField dataField="1" numFmtId="164" showAll="0"/>
    <pivotField showAll="0"/>
    <pivotField showAll="0"/>
    <pivotField showAll="0"/>
    <pivotField showAll="0"/>
    <pivotField showAll="0"/>
    <pivotField showAll="0"/>
  </pivotFields>
  <rowFields count="2">
    <field x="0"/>
    <field x="1"/>
  </rowFields>
  <rowItems count="27">
    <i>
      <x/>
    </i>
    <i r="1">
      <x/>
    </i>
    <i r="1">
      <x v="1"/>
    </i>
    <i r="1">
      <x v="2"/>
    </i>
    <i r="1">
      <x v="3"/>
    </i>
    <i r="1">
      <x v="6"/>
    </i>
    <i r="1">
      <x v="7"/>
    </i>
    <i r="1">
      <x v="10"/>
    </i>
    <i r="1">
      <x v="11"/>
    </i>
    <i r="1">
      <x v="12"/>
    </i>
    <i r="1">
      <x v="13"/>
    </i>
    <i r="1">
      <x v="14"/>
    </i>
    <i r="1">
      <x v="17"/>
    </i>
    <i r="1">
      <x v="18"/>
    </i>
    <i r="1">
      <x v="19"/>
    </i>
    <i r="1">
      <x v="20"/>
    </i>
    <i r="1">
      <x v="21"/>
    </i>
    <i r="1">
      <x v="22"/>
    </i>
    <i>
      <x v="1"/>
    </i>
    <i>
      <x v="2"/>
    </i>
    <i r="1">
      <x v="1"/>
    </i>
    <i r="1">
      <x v="6"/>
    </i>
    <i r="1">
      <x v="8"/>
    </i>
    <i r="1">
      <x v="9"/>
    </i>
    <i r="1">
      <x v="14"/>
    </i>
    <i r="1">
      <x v="16"/>
    </i>
    <i t="grand">
      <x/>
    </i>
  </rowItems>
  <colItems count="1">
    <i/>
  </colItems>
  <dataFields count="1">
    <dataField name="KOKONAISKUSTANNUS SUMMA" fld="6" baseField="0" baseItem="0" numFmtId="164"/>
  </dataFields>
  <formats count="2">
    <format dxfId="84">
      <pivotArea field="0" type="button" dataOnly="0" labelOnly="1" outline="0" axis="axisRow" fieldPosition="0"/>
    </format>
    <format dxfId="83">
      <pivotArea dataOnly="0" labelOnly="1" outline="0" axis="axisValues" fieldPosition="0"/>
    </format>
  </formats>
  <pivotTableStyleInfo name="PivotStyleLight1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3D0FFD-983F-4CA0-9590-A51A413D0851}" name="PivotTable4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KATEGORIAT">
  <location ref="G8:I26" firstHeaderRow="0" firstDataRow="1" firstDataCol="1"/>
  <pivotFields count="11">
    <pivotField axis="axisRow" showAll="0">
      <items count="9">
        <item x="0"/>
        <item x="1"/>
        <item x="2"/>
        <item x="3"/>
        <item sd="0" m="1" x="7"/>
        <item sd="0" x="4"/>
        <item sd="0" x="5"/>
        <item sd="0" x="6"/>
        <item t="default"/>
      </items>
    </pivotField>
    <pivotField axis="axisRow" showAll="0">
      <items count="3">
        <item x="0"/>
        <item x="1"/>
        <item t="default"/>
      </items>
    </pivotField>
    <pivotField axis="axisRow" showAll="0">
      <items count="15">
        <item x="0"/>
        <item x="6"/>
        <item x="9"/>
        <item x="7"/>
        <item x="2"/>
        <item x="1"/>
        <item x="5"/>
        <item m="1" x="13"/>
        <item x="8"/>
        <item x="10"/>
        <item x="4"/>
        <item x="11"/>
        <item m="1" x="12"/>
        <item x="3"/>
        <item t="default"/>
      </items>
    </pivotField>
    <pivotField showAll="0"/>
    <pivotField dataField="1" numFmtId="166" showAll="0"/>
    <pivotField showAll="0"/>
    <pivotField showAll="0"/>
    <pivotField dataField="1" numFmtId="10" showAll="0"/>
    <pivotField showAll="0"/>
    <pivotField showAll="0"/>
    <pivotField showAll="0"/>
  </pivotFields>
  <rowFields count="3">
    <field x="0"/>
    <field x="1"/>
    <field x="2"/>
  </rowFields>
  <rowItems count="18">
    <i>
      <x/>
    </i>
    <i r="1">
      <x/>
    </i>
    <i r="2">
      <x/>
    </i>
    <i>
      <x v="1"/>
    </i>
    <i r="1">
      <x v="1"/>
    </i>
    <i r="2">
      <x v="5"/>
    </i>
    <i>
      <x v="2"/>
    </i>
    <i r="1">
      <x/>
    </i>
    <i r="2">
      <x v="4"/>
    </i>
    <i r="2">
      <x v="10"/>
    </i>
    <i r="2">
      <x v="13"/>
    </i>
    <i>
      <x v="3"/>
    </i>
    <i r="1">
      <x/>
    </i>
    <i r="2">
      <x v="6"/>
    </i>
    <i>
      <x v="5"/>
    </i>
    <i>
      <x v="6"/>
    </i>
    <i>
      <x v="7"/>
    </i>
    <i t="grand">
      <x/>
    </i>
  </rowItems>
  <colFields count="1">
    <field x="-2"/>
  </colFields>
  <colItems count="2">
    <i>
      <x/>
    </i>
    <i i="1">
      <x v="1"/>
    </i>
  </colItems>
  <dataFields count="2">
    <dataField name="PÄÄSTÖT SUMMA" fld="4" baseField="0" baseItem="0" numFmtId="166"/>
    <dataField name="%-OSUUS KOK. PÄÄST." fld="7" baseField="0" baseItem="0" numFmtId="10"/>
  </dataFields>
  <formats count="2">
    <format dxfId="86">
      <pivotArea field="0" type="button" dataOnly="0" labelOnly="1" outline="0" axis="axisRow" fieldPosition="0"/>
    </format>
    <format dxfId="8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22293D3A-D86B-416E-A7EA-7DB734107079}" name="Taustatiedot" displayName="Taustatiedot" ref="B2:F35" totalsRowShown="0">
  <autoFilter ref="B2:F35" xr:uid="{22293D3A-D86B-416E-A7EA-7DB734107079}"/>
  <tableColumns count="5">
    <tableColumn id="1" xr3:uid="{3B485DCC-C5A2-422D-AC75-63FF7B9D4242}" name="Pääluokka" dataDxfId="88"/>
    <tableColumn id="2" xr3:uid="{16478B91-039F-415B-9848-C25E650D83AB}" name="Kustannus/tulo" dataDxfId="87"/>
    <tableColumn id="4" xr3:uid="{15878494-1E10-4DB1-A979-6B205FF6D2B6}" name="Automatisoitu vai syöttö"/>
    <tableColumn id="5" xr3:uid="{DD37CA94-FF63-4881-856D-2F3CA4A9FF64}" name="Mistä kustannus/tulo on haettu"/>
    <tableColumn id="6" xr3:uid="{A4866F4E-415B-4DF4-B8DE-6D14EAC29391}" name="Tulevaisuuden kehitysidea"/>
  </tableColumns>
  <tableStyleInfo name="TableStyleMedium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1680AABE-8851-45DC-9CE6-3D5A1CEDC04C}" name="table_yleistiedot" displayName="table_yleistiedot" ref="B3:H4" totalsRowShown="0" headerRowDxfId="80" dataDxfId="79" headerRowCellStyle="60% - Accent6" dataCellStyle="Normal">
  <autoFilter ref="B3:H4" xr:uid="{1680AABE-8851-45DC-9CE6-3D5A1CEDC04C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xr3:uid="{822D1D68-4BCE-49AD-A93C-4CB045F83FA4}" name="HANKE" dataDxfId="78" dataCellStyle="Normal"/>
    <tableColumn id="2" xr3:uid="{915B85FB-FFDC-4685-9C9F-78B3D898DFE4}" name="KAAVOITUSPROSESSIN VAIHE" dataDxfId="77" dataCellStyle="Normal"/>
    <tableColumn id="3" xr3:uid="{62A5980A-1644-4674-9C00-AC7AA05A7552}" name="LAATIJA" dataDxfId="76" dataCellStyle="Normal"/>
    <tableColumn id="4" xr3:uid="{4F8E6395-68E5-402C-B5E4-45010B556834}" name="KAUPUNKI / KUNTA" dataDxfId="75" dataCellStyle="Normal"/>
    <tableColumn id="7" xr3:uid="{4ABB7DFF-D866-45AA-982D-557A0F05738B}" name="KAUPUNGINOSA" dataDxfId="74" dataCellStyle="Normal"/>
    <tableColumn id="5" xr3:uid="{3C25C66D-27F5-474D-B3A0-ED67321CC1AF}" name="PÄIVÄMÄÄRÄ" dataDxfId="73" dataCellStyle="Normal"/>
    <tableColumn id="6" xr3:uid="{41DC3DE7-5342-4E04-B586-921140A1D5CF}" name="MAKU-indeksi" dataDxfId="72" dataCellStyle="Normal"/>
  </tableColumns>
  <tableStyleInfo name="TableStyleLight1"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4F9F62A8-D126-4B71-92C8-A08ACBEC419B}" name="table_kustannukset" displayName="table_kustannukset" ref="A4:M30" totalsRowShown="0" headerRowDxfId="71" dataDxfId="70" headerRowCellStyle="Normal" dataCellStyle="Normal">
  <autoFilter ref="A4:M30" xr:uid="{4F9F62A8-D126-4B71-92C8-A08ACBEC419B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</autoFilter>
  <tableColumns count="13">
    <tableColumn id="1" xr3:uid="{66C3BCBB-4F53-47ED-BB46-784F2E2AE118}" name="YLÄKATEGORIA" dataDxfId="69" dataCellStyle="Normal"/>
    <tableColumn id="2" xr3:uid="{0ACCA958-7B3B-415F-A980-91C9606B88E4}" name="ALAKATEGORIA" dataDxfId="68" dataCellStyle="Normal"/>
    <tableColumn id="3" xr3:uid="{5D4633A9-4C82-46FB-B904-7A31BD7B5578}" name="OSATEKIJÄ" dataDxfId="67" dataCellStyle="Normal"/>
    <tableColumn id="17" xr3:uid="{F2E840F1-3C4F-4260-9D3C-9C5EFD153F4E}" name="MÄÄRÄ" dataDxfId="66" dataCellStyle="Normal"/>
    <tableColumn id="4" xr3:uid="{70E38391-8F2E-4A23-911E-2FD0350CC77A}" name="YKSIKKÖHINTA" dataDxfId="65" dataCellStyle="Normal"/>
    <tableColumn id="10" xr3:uid="{36A542B8-A53F-46A0-9334-1C4DFC12CAFB}" name="VARAUKSET" dataDxfId="64" dataCellStyle="Normal">
      <calculatedColumnFormula array="1">_xlfn.XLOOKUP(1,(table_varaukset_kustannukset[YLÄKATEGORIA]=table_kustannukset[[#This Row],[YLÄKATEGORIA]])*(table_varaukset_kustannukset[ALAKATEGORIA]=table_kustannukset[[#This Row],[ALAKATEGORIA]]),table_varaukset_kustannukset[%],0)</calculatedColumnFormula>
    </tableColumn>
    <tableColumn id="18" xr3:uid="{EB294A3B-4A39-4020-88CC-42161DB3B0C7}" name="KOKONAISKUSTANNUS" dataDxfId="63" dataCellStyle="Normal">
      <calculatedColumnFormula>table_kustannukset[[#This Row],[MÄÄRÄ]]*table_kustannukset[[#This Row],[YKSIKKÖHINTA]]*(1+table_kustannukset[[#This Row],[VARAUKSET]])</calculatedColumnFormula>
    </tableColumn>
    <tableColumn id="6" xr3:uid="{AA25FB77-8217-409A-A4FE-28A6CA7DA413}" name="OSAPUOLI" dataDxfId="62" dataCellStyle="Normal"/>
    <tableColumn id="12" xr3:uid="{FCF21591-686D-4E57-816C-4C143BDB822D}" name="PÄÄOMA- VAI KÄYTTÖTALOUS" dataDxfId="61" dataCellStyle="Normal"/>
    <tableColumn id="5" xr3:uid="{150332E8-C653-4F3A-8D9F-EFFC567AB612}" name="AJOITTUMINEN" dataDxfId="60"/>
    <tableColumn id="13" xr3:uid="{70651250-47AD-4484-B867-68EBBFEACD02}" name="KERTYMÄVUODET" dataDxfId="59" dataCellStyle="Normal"/>
    <tableColumn id="14" xr3:uid="{034E19CB-F2CB-41A6-BD72-CB7BE18BF32D}" name="OHJEET ARVON NOUTOON" dataDxfId="58" dataCellStyle="Normal"/>
    <tableColumn id="7" xr3:uid="{374C86EF-1187-4EF0-80C0-7298CEB8E5E2}" name="LISÄTIEDOT" dataDxfId="57" dataCellStyle="Normal"/>
  </tableColumns>
  <tableStyleInfo name="TableStyleMedium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1571A10D-471E-456C-89D8-1E8FE9AFEB85}" name="table_varaukset_kustannukset" displayName="table_varaukset_kustannukset" ref="O4:S9" headerRowDxfId="56">
  <autoFilter ref="O4:S9" xr:uid="{1571A10D-471E-456C-89D8-1E8FE9AFEB85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3" xr3:uid="{36906A58-0230-47C8-A95E-80D18953A993}" name="YLÄKATEGORIA" totalsRowLabel="Total"/>
    <tableColumn id="1" xr3:uid="{18C18087-EAEF-4879-963B-C1B9B9AA9FBB}" name="ALAKATEGORIA"/>
    <tableColumn id="4" xr3:uid="{DECECF6A-97F2-4BE7-8A8E-FB5A01F3237C}" name="Tilaajatehtävät" dataDxfId="55"/>
    <tableColumn id="5" xr3:uid="{4C030B77-467C-46CC-985C-6F686A71A4CB}" name="Muut varaukset"/>
    <tableColumn id="2" xr3:uid="{73D986DA-DD6D-481B-8E76-5673B11ACB14}" name="%" totalsRowFunction="sum" dataDxfId="54" totalsRowDxfId="53">
      <calculatedColumnFormula>IF(SUM(table_varaukset_kustannukset[[#This Row],[Tilaajatehtävät]:[Muut varaukset]]) &lt;&gt; 0,SUM(table_varaukset_kustannukset[[#This Row],[Tilaajatehtävät]:[Muut varaukset]]),"")</calculatedColumnFormula>
    </tableColumn>
  </tableColumns>
  <tableStyleInfo name="TableStyleLight8" showFirstColumn="0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FC28DB20-3B74-4319-8F8A-F5DB9F14DADA}" name="table_tulot" displayName="table_tulot" ref="A4:L13" totalsRowShown="0" headerRowDxfId="52" dataDxfId="51" headerRowCellStyle="Normal" dataCellStyle="Normal">
  <autoFilter ref="A4:L13" xr:uid="{FC28DB20-3B74-4319-8F8A-F5DB9F14DAD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</autoFilter>
  <tableColumns count="12">
    <tableColumn id="1" xr3:uid="{BE2143EB-67FB-42D3-AB09-582581EECFBE}" name="YLÄKATEGORIA" dataDxfId="50" dataCellStyle="Normal"/>
    <tableColumn id="2" xr3:uid="{838980D8-DAC1-4287-93FA-CDFAFDB4D699}" name="ALAKATEGORIA" dataDxfId="49" dataCellStyle="Normal"/>
    <tableColumn id="3" xr3:uid="{F7B3E2EC-DE56-4B00-807A-56C34A6B93AB}" name="OSATEKIJÄ" dataDxfId="48" dataCellStyle="Normal"/>
    <tableColumn id="17" xr3:uid="{FB47B444-07F9-47B2-B3BF-B42C64981D1A}" name="MÄÄRÄ" dataDxfId="47" dataCellStyle="Normal"/>
    <tableColumn id="4" xr3:uid="{1FB83348-85A2-491F-A9AB-E22FA101BBE1}" name="YKSIKKÖHINTA" dataDxfId="46" dataCellStyle="Normal"/>
    <tableColumn id="10" xr3:uid="{41AD9E0E-683D-4FFD-BC32-C930E33CA3DB}" name="VARAUKSET" dataDxfId="45" dataCellStyle="Normal">
      <calculatedColumnFormula array="1">_xlfn.XLOOKUP(1,(table_varaukset_tulot[YLÄKATEGORIA]=table_tulot[[#This Row],[YLÄKATEGORIA]])*(table_varaukset_tulot[KATEGORIA]=table_tulot[[#This Row],[ALAKATEGORIA]]),table_varaukset_tulot[%],0)</calculatedColumnFormula>
    </tableColumn>
    <tableColumn id="18" xr3:uid="{71014CD5-161B-47FE-80D9-77A3EA246AFE}" name="KOKONAISTULOT" dataDxfId="44" dataCellStyle="Normal">
      <calculatedColumnFormula>table_tulot[[#This Row],[MÄÄRÄ]]*table_tulot[[#This Row],[YKSIKKÖHINTA]]*(1+table_tulot[[#This Row],[VARAUKSET]])</calculatedColumnFormula>
    </tableColumn>
    <tableColumn id="6" xr3:uid="{58F304BE-AA71-4398-845E-F00A860980A9}" name="OSAPUOLI" dataDxfId="43" dataCellStyle="Normal"/>
    <tableColumn id="13" xr3:uid="{9EE29C6F-1C66-4C4D-9955-090404DC5EE9}" name="KERTYMÄVUODET" dataDxfId="42" dataCellStyle="Normal"/>
    <tableColumn id="12" xr3:uid="{DC7367D6-0B34-4872-B4F1-3BDFA968B5EF}" name="PÄÄOMA- VAI KÄYTTÖTALOUS" dataDxfId="41" dataCellStyle="Normal"/>
    <tableColumn id="14" xr3:uid="{9479C477-9B22-4B3C-B1EE-A9C6C47C1062}" name="OHJEET ARVON NOUTOON" dataDxfId="40" dataCellStyle="Normal"/>
    <tableColumn id="5" xr3:uid="{121E6885-5F2F-4D24-B30B-1A42FBC6F57C}" name="LISÄTIEDOT" dataDxfId="39" dataCellStyle="Normal"/>
  </tableColumns>
  <tableStyleInfo name="TableStyleMedium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A16433C7-1945-4797-BCD6-91791A4078EB}" name="table_varaukset_tulot" displayName="table_varaukset_tulot" ref="N4:R7" headerRowDxfId="38">
  <autoFilter ref="N4:R7" xr:uid="{A16433C7-1945-4797-BCD6-91791A4078EB}"/>
  <tableColumns count="5">
    <tableColumn id="3" xr3:uid="{9777A200-6C2F-4B4E-ACFF-08AC80540985}" name="YLÄKATEGORIA" totalsRowLabel="Total"/>
    <tableColumn id="1" xr3:uid="{698019CB-8707-4EC6-A054-A69249CDA587}" name="KATEGORIA"/>
    <tableColumn id="4" xr3:uid="{484D30CC-FBFF-401A-A72C-57279F318F6D}" name="Varaus_1" dataDxfId="37"/>
    <tableColumn id="5" xr3:uid="{1B1FED20-2BC3-48DF-8C2F-030323AE126B}" name="Muut varaukset" dataDxfId="36"/>
    <tableColumn id="2" xr3:uid="{ABC0D874-2382-44FB-8C5D-1D252E81CD16}" name="%" totalsRowFunction="sum" dataDxfId="35" totalsRowDxfId="34">
      <calculatedColumnFormula>IF(SUM(table_varaukset_tulot[[#This Row],[Varaus_1]:[Muut varaukset]]) &lt;&gt; 0,SUM(table_varaukset_tulot[[#This Row],[Varaus_1]:[Muut varaukset]]),"")</calculatedColumnFormula>
    </tableColumn>
  </tableColumns>
  <tableStyleInfo name="TableStyleLight8" showFirstColumn="0" showLastColumn="1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1566097-7D14-48E9-BEE6-8E50F2177F68}" name="table_kerrosala" displayName="table_kerrosala" ref="T4:U9" totalsRowShown="0" headerRowDxfId="33">
  <autoFilter ref="T4:U9" xr:uid="{01566097-7D14-48E9-BEE6-8E50F2177F68}"/>
  <tableColumns count="2">
    <tableColumn id="1" xr3:uid="{8225AE28-05DB-4943-870A-4D5A69EBCBE0}" name="KERROSALATYYPPI"/>
    <tableColumn id="2" xr3:uid="{45FD5745-18AE-4BCA-BE19-ED95208EDC0C}" name="MÄÄRÄ" dataDxfId="32"/>
  </tableColumns>
  <tableStyleInfo name="TableStyleLight8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5070ED1E-3907-42DB-BC7B-0F2F58144B92}" name="table_päästöt" displayName="table_päästöt" ref="A4:K20" totalsRowShown="0" headerRowDxfId="31" dataDxfId="30">
  <autoFilter ref="A4:K20" xr:uid="{5070ED1E-3907-42DB-BC7B-0F2F58144B92}"/>
  <sortState xmlns:xlrd2="http://schemas.microsoft.com/office/spreadsheetml/2017/richdata2" ref="A5:J20">
    <sortCondition ref="A4:A20"/>
  </sortState>
  <tableColumns count="11">
    <tableColumn id="1" xr3:uid="{6AB1D801-9A32-4823-816C-5F4098209C72}" name="PÄÄSTÖLUOKKA" dataDxfId="29"/>
    <tableColumn id="8" xr3:uid="{A1DB13BE-4370-4DDD-A0FF-F43BBD8FBBFE}" name="YLÄKATEGORIA" dataDxfId="28"/>
    <tableColumn id="2" xr3:uid="{8377ECA0-A58D-44D1-A5E8-44B1A69CDDCB}" name="ALAKATEGORIA" dataDxfId="27"/>
    <tableColumn id="9" xr3:uid="{7555991E-2CE2-4B17-B8F8-90CDDE49D128}" name="OSATEKIJÄ" dataDxfId="26"/>
    <tableColumn id="3" xr3:uid="{BE4CFBA0-3535-49AE-9791-01E4314FEC35}" name="PÄÄSTÖT" dataDxfId="25"/>
    <tableColumn id="10" xr3:uid="{CD6021E4-47D0-437E-BE58-090D898EC76B}" name="OSAPUOLI" dataDxfId="24"/>
    <tableColumn id="5" xr3:uid="{B9B5C44B-77A3-467E-AFBA-1C7C01FF3825}" name="AJOITTUMINEN" dataDxfId="23"/>
    <tableColumn id="7" xr3:uid="{E3300561-75F3-4F73-9F17-77E0605DC698}" name="PROSENTIT KOKONAISPÄÄSTÖISTÄ" dataDxfId="22">
      <calculatedColumnFormula>E5/SUM($E$5:$E$20)</calculatedColumnFormula>
    </tableColumn>
    <tableColumn id="4" xr3:uid="{1A150C86-A833-417A-B0C0-B38571A4F781}" name="PÄÄSTÖJEN SAANTI" dataDxfId="21"/>
    <tableColumn id="6" xr3:uid="{60849CB5-927C-4FA2-BAB0-29099B542973}" name="OHJEET ARVON NOUTOON" dataDxfId="20"/>
    <tableColumn id="11" xr3:uid="{EA57193F-338A-45F3-A9A7-D047F59BFF42}" name="LISÄTIEDOT" dataDxfId="19"/>
  </tableColumns>
  <tableStyleInfo name="TableStyleMedium1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67C52E4-DF0A-4A67-A39E-AA2BA6BD4AEA}" name="Table2" displayName="Table2" ref="A4:B30" totalsRowShown="0" headerRowDxfId="18">
  <autoFilter ref="A4:B30" xr:uid="{867C52E4-DF0A-4A67-A39E-AA2BA6BD4AEA}"/>
  <sortState xmlns:xlrd2="http://schemas.microsoft.com/office/spreadsheetml/2017/richdata2" ref="A5:B30">
    <sortCondition ref="A4:A30"/>
  </sortState>
  <tableColumns count="2">
    <tableColumn id="1" xr3:uid="{98FA25F3-D37F-40D9-8EC9-E1FB68A5A28F}" name="YLÄKATEGORIA" dataDxfId="17"/>
    <tableColumn id="2" xr3:uid="{DA326878-9576-4DD8-862E-2528310333D7}" name="ALAKATEGORIA" dataDxfId="16"/>
  </tableColumns>
  <tableStyleInfo name="TableStyleLight5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E96AF6EF-ABF6-4311-8028-277E7516649C}" name="Table17" displayName="Table17" ref="C4:E14" totalsRowShown="0" headerRowDxfId="15" dataDxfId="14" tableBorderDxfId="13">
  <autoFilter ref="C4:E14" xr:uid="{E96AF6EF-ABF6-4311-8028-277E7516649C}"/>
  <sortState xmlns:xlrd2="http://schemas.microsoft.com/office/spreadsheetml/2017/richdata2" ref="C5:D14">
    <sortCondition ref="C4:C14"/>
  </sortState>
  <tableColumns count="3">
    <tableColumn id="1" xr3:uid="{7957E4E9-F4BC-45B5-BB22-7AF6E99AA7B2}" name="YLÄKATEGORIA" dataDxfId="12"/>
    <tableColumn id="2" xr3:uid="{B30C3523-2433-4265-8B75-777621999D5A}" name="ALAKATEGORIA" dataDxfId="11"/>
    <tableColumn id="3" xr3:uid="{4DB4FCBE-FA04-4340-A050-3B94141F855A}" name="KERROSALA" dataDxfId="10"/>
  </tableColumns>
  <tableStyleInfo name="TableStyleLight16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7FD1C6BB-68A6-4323-9E03-F65A1EC9815B}" name="Table18" displayName="Table18" ref="F4:F12" totalsRowShown="0" headerRowDxfId="9" dataDxfId="8">
  <autoFilter ref="F4:F12" xr:uid="{7FD1C6BB-68A6-4323-9E03-F65A1EC9815B}"/>
  <sortState xmlns:xlrd2="http://schemas.microsoft.com/office/spreadsheetml/2017/richdata2" ref="F5:F12">
    <sortCondition ref="F4:F12"/>
  </sortState>
  <tableColumns count="1">
    <tableColumn id="1" xr3:uid="{B31A44EC-3415-48AB-B308-CD52350FE116}" name="PÄÄSTÖLUOKKA" dataDxfId="7"/>
  </tableColumns>
  <tableStyleInfo name="TableStyleLight18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8A9275D9-5D76-4735-88E7-FFEB8D178F5B}" name="Table21" displayName="Table21" ref="H5:H10" totalsRowShown="0" headerRowDxfId="6" dataDxfId="5" tableBorderDxfId="4">
  <autoFilter ref="H5:H10" xr:uid="{8A9275D9-5D76-4735-88E7-FFEB8D178F5B}"/>
  <sortState xmlns:xlrd2="http://schemas.microsoft.com/office/spreadsheetml/2017/richdata2" ref="H6:H10">
    <sortCondition ref="H5:H10"/>
  </sortState>
  <tableColumns count="1">
    <tableColumn id="1" xr3:uid="{63DFBDA4-ECA8-4AFE-9411-C2F7558AAF8B}" name="OSAPUOLI" dataDxfId="3"/>
  </tableColumns>
  <tableStyleInfo name="TableStyleLight1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1A9F25F9-C08C-48B5-95A5-6416C6A03FD7}" name="Table22" displayName="Table22" ref="I5:I9" totalsRowShown="0" headerRowDxfId="2" dataDxfId="1">
  <autoFilter ref="I5:I9" xr:uid="{1A9F25F9-C08C-48B5-95A5-6416C6A03FD7}"/>
  <sortState xmlns:xlrd2="http://schemas.microsoft.com/office/spreadsheetml/2017/richdata2" ref="I6:I9">
    <sortCondition ref="I5:I9"/>
  </sortState>
  <tableColumns count="1">
    <tableColumn id="1" xr3:uid="{14229BBB-AB32-4B49-BA36-B385BC92D01C}" name="AJOITTUMINEN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Rambøll_2021">
      <a:dk1>
        <a:srgbClr val="000000"/>
      </a:dk1>
      <a:lt1>
        <a:srgbClr val="FFFFFF"/>
      </a:lt1>
      <a:dk2>
        <a:srgbClr val="009DF0"/>
      </a:dk2>
      <a:lt2>
        <a:srgbClr val="273943"/>
      </a:lt2>
      <a:accent1>
        <a:srgbClr val="05326E"/>
      </a:accent1>
      <a:accent2>
        <a:srgbClr val="125A40"/>
      </a:accent2>
      <a:accent3>
        <a:srgbClr val="ADD095"/>
      </a:accent3>
      <a:accent4>
        <a:srgbClr val="62294B"/>
      </a:accent4>
      <a:accent5>
        <a:srgbClr val="FF8855"/>
      </a:accent5>
      <a:accent6>
        <a:srgbClr val="E3E1D8"/>
      </a:accent6>
      <a:hlink>
        <a:srgbClr val="009DF0"/>
      </a:hlink>
      <a:folHlink>
        <a:srgbClr val="CCEBF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table" Target="../tables/table6.xml"/><Relationship Id="rId1" Type="http://schemas.openxmlformats.org/officeDocument/2006/relationships/table" Target="../tables/table5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.xml"/><Relationship Id="rId2" Type="http://schemas.openxmlformats.org/officeDocument/2006/relationships/table" Target="../tables/table9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13.xml"/><Relationship Id="rId5" Type="http://schemas.openxmlformats.org/officeDocument/2006/relationships/table" Target="../tables/table12.xml"/><Relationship Id="rId4" Type="http://schemas.openxmlformats.org/officeDocument/2006/relationships/table" Target="../tables/table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94FB14-F39C-4852-8746-D032C4742C42}">
  <dimension ref="B2:F35"/>
  <sheetViews>
    <sheetView workbookViewId="0">
      <selection activeCell="B22" sqref="B22"/>
    </sheetView>
  </sheetViews>
  <sheetFormatPr defaultRowHeight="15" x14ac:dyDescent="0.25"/>
  <cols>
    <col min="2" max="2" width="21" bestFit="1" customWidth="1"/>
    <col min="3" max="3" width="36" bestFit="1" customWidth="1"/>
    <col min="4" max="4" width="23.5703125" hidden="1" customWidth="1"/>
    <col min="5" max="5" width="53.42578125" bestFit="1" customWidth="1"/>
    <col min="6" max="6" width="55.7109375" customWidth="1"/>
  </cols>
  <sheetData>
    <row r="2" spans="2:6" x14ac:dyDescent="0.25">
      <c r="B2" t="s">
        <v>0</v>
      </c>
      <c r="C2" t="s">
        <v>1</v>
      </c>
      <c r="D2" t="s">
        <v>2</v>
      </c>
      <c r="E2" t="s">
        <v>3</v>
      </c>
      <c r="F2" t="s">
        <v>4</v>
      </c>
    </row>
    <row r="3" spans="2:6" x14ac:dyDescent="0.25">
      <c r="B3" s="2" t="s">
        <v>5</v>
      </c>
      <c r="C3" s="3" t="s">
        <v>6</v>
      </c>
      <c r="D3" t="s">
        <v>7</v>
      </c>
      <c r="E3" t="s">
        <v>8</v>
      </c>
    </row>
    <row r="4" spans="2:6" x14ac:dyDescent="0.25">
      <c r="B4" s="2" t="s">
        <v>5</v>
      </c>
      <c r="C4" s="3" t="s">
        <v>9</v>
      </c>
      <c r="D4" t="s">
        <v>7</v>
      </c>
      <c r="E4" t="s">
        <v>8</v>
      </c>
    </row>
    <row r="5" spans="2:6" x14ac:dyDescent="0.25">
      <c r="B5" s="2" t="s">
        <v>5</v>
      </c>
      <c r="C5" s="3" t="s">
        <v>10</v>
      </c>
      <c r="D5" t="s">
        <v>7</v>
      </c>
      <c r="E5" t="s">
        <v>8</v>
      </c>
    </row>
    <row r="6" spans="2:6" x14ac:dyDescent="0.25">
      <c r="B6" s="2" t="s">
        <v>5</v>
      </c>
      <c r="C6" s="3" t="s">
        <v>5</v>
      </c>
      <c r="D6" t="s">
        <v>7</v>
      </c>
      <c r="E6" t="s">
        <v>11</v>
      </c>
    </row>
    <row r="7" spans="2:6" x14ac:dyDescent="0.25">
      <c r="B7" s="2" t="s">
        <v>5</v>
      </c>
      <c r="C7" s="3" t="s">
        <v>12</v>
      </c>
      <c r="D7" t="s">
        <v>7</v>
      </c>
      <c r="E7" t="s">
        <v>8</v>
      </c>
    </row>
    <row r="8" spans="2:6" x14ac:dyDescent="0.25">
      <c r="B8" s="2" t="s">
        <v>5</v>
      </c>
      <c r="C8" s="3" t="s">
        <v>13</v>
      </c>
      <c r="D8" t="s">
        <v>7</v>
      </c>
    </row>
    <row r="9" spans="2:6" x14ac:dyDescent="0.25">
      <c r="B9" s="2" t="s">
        <v>14</v>
      </c>
      <c r="C9" s="3" t="s">
        <v>6</v>
      </c>
      <c r="D9" t="s">
        <v>7</v>
      </c>
      <c r="E9" t="s">
        <v>15</v>
      </c>
      <c r="F9" t="s">
        <v>16</v>
      </c>
    </row>
    <row r="10" spans="2:6" x14ac:dyDescent="0.25">
      <c r="B10" s="2" t="s">
        <v>14</v>
      </c>
      <c r="C10" s="3" t="s">
        <v>9</v>
      </c>
      <c r="D10" t="s">
        <v>7</v>
      </c>
      <c r="E10" t="s">
        <v>15</v>
      </c>
      <c r="F10" t="s">
        <v>16</v>
      </c>
    </row>
    <row r="11" spans="2:6" x14ac:dyDescent="0.25">
      <c r="B11" s="2" t="s">
        <v>14</v>
      </c>
      <c r="C11" s="3" t="s">
        <v>10</v>
      </c>
      <c r="D11" t="s">
        <v>7</v>
      </c>
      <c r="E11" t="s">
        <v>15</v>
      </c>
      <c r="F11" t="s">
        <v>16</v>
      </c>
    </row>
    <row r="12" spans="2:6" x14ac:dyDescent="0.25">
      <c r="B12" s="2" t="s">
        <v>14</v>
      </c>
      <c r="C12" s="3" t="s">
        <v>17</v>
      </c>
      <c r="D12" t="s">
        <v>7</v>
      </c>
      <c r="E12" t="s">
        <v>15</v>
      </c>
      <c r="F12" t="s">
        <v>16</v>
      </c>
    </row>
    <row r="13" spans="2:6" x14ac:dyDescent="0.25">
      <c r="B13" s="2" t="s">
        <v>14</v>
      </c>
      <c r="C13" s="3" t="s">
        <v>18</v>
      </c>
      <c r="D13" t="s">
        <v>7</v>
      </c>
      <c r="E13" t="s">
        <v>15</v>
      </c>
      <c r="F13" t="s">
        <v>16</v>
      </c>
    </row>
    <row r="14" spans="2:6" x14ac:dyDescent="0.25">
      <c r="B14" s="2" t="s">
        <v>14</v>
      </c>
      <c r="C14" s="3" t="s">
        <v>19</v>
      </c>
      <c r="D14" t="s">
        <v>7</v>
      </c>
      <c r="E14" t="s">
        <v>15</v>
      </c>
      <c r="F14" t="s">
        <v>16</v>
      </c>
    </row>
    <row r="15" spans="2:6" x14ac:dyDescent="0.25">
      <c r="B15" s="2" t="s">
        <v>14</v>
      </c>
      <c r="C15" s="3" t="s">
        <v>20</v>
      </c>
      <c r="D15" t="s">
        <v>7</v>
      </c>
      <c r="E15" t="s">
        <v>15</v>
      </c>
      <c r="F15" t="s">
        <v>16</v>
      </c>
    </row>
    <row r="16" spans="2:6" x14ac:dyDescent="0.25">
      <c r="B16" s="2" t="s">
        <v>14</v>
      </c>
      <c r="C16" s="3" t="s">
        <v>21</v>
      </c>
      <c r="D16" t="s">
        <v>7</v>
      </c>
      <c r="E16" t="s">
        <v>15</v>
      </c>
      <c r="F16" t="s">
        <v>16</v>
      </c>
    </row>
    <row r="17" spans="2:6" x14ac:dyDescent="0.25">
      <c r="B17" s="2" t="s">
        <v>14</v>
      </c>
      <c r="C17" s="3" t="s">
        <v>22</v>
      </c>
      <c r="D17" t="s">
        <v>7</v>
      </c>
      <c r="E17" t="s">
        <v>15</v>
      </c>
      <c r="F17" t="s">
        <v>16</v>
      </c>
    </row>
    <row r="18" spans="2:6" x14ac:dyDescent="0.25">
      <c r="B18" s="2" t="s">
        <v>14</v>
      </c>
      <c r="C18" s="3" t="s">
        <v>23</v>
      </c>
      <c r="D18" t="s">
        <v>7</v>
      </c>
      <c r="E18" t="s">
        <v>15</v>
      </c>
      <c r="F18" t="s">
        <v>16</v>
      </c>
    </row>
    <row r="19" spans="2:6" x14ac:dyDescent="0.25">
      <c r="B19" s="2" t="s">
        <v>14</v>
      </c>
      <c r="C19" s="3" t="s">
        <v>24</v>
      </c>
      <c r="D19" t="s">
        <v>7</v>
      </c>
      <c r="E19" t="s">
        <v>15</v>
      </c>
      <c r="F19" t="s">
        <v>16</v>
      </c>
    </row>
    <row r="20" spans="2:6" x14ac:dyDescent="0.25">
      <c r="B20" s="2" t="s">
        <v>14</v>
      </c>
      <c r="C20" s="3" t="s">
        <v>25</v>
      </c>
      <c r="D20" t="s">
        <v>7</v>
      </c>
      <c r="E20" t="s">
        <v>26</v>
      </c>
      <c r="F20" t="s">
        <v>16</v>
      </c>
    </row>
    <row r="21" spans="2:6" x14ac:dyDescent="0.25">
      <c r="B21" s="2" t="s">
        <v>14</v>
      </c>
      <c r="C21" s="3" t="s">
        <v>27</v>
      </c>
      <c r="D21" t="s">
        <v>7</v>
      </c>
      <c r="E21" t="s">
        <v>28</v>
      </c>
      <c r="F21" t="s">
        <v>16</v>
      </c>
    </row>
    <row r="22" spans="2:6" x14ac:dyDescent="0.25">
      <c r="B22" s="2" t="s">
        <v>14</v>
      </c>
      <c r="C22" s="3" t="s">
        <v>29</v>
      </c>
      <c r="D22" t="s">
        <v>7</v>
      </c>
      <c r="F22" t="s">
        <v>16</v>
      </c>
    </row>
    <row r="23" spans="2:6" x14ac:dyDescent="0.25">
      <c r="B23" s="2" t="s">
        <v>14</v>
      </c>
      <c r="C23" s="3" t="s">
        <v>30</v>
      </c>
      <c r="D23" t="s">
        <v>7</v>
      </c>
      <c r="F23" t="s">
        <v>16</v>
      </c>
    </row>
    <row r="24" spans="2:6" x14ac:dyDescent="0.25">
      <c r="B24" s="2" t="s">
        <v>14</v>
      </c>
      <c r="C24" s="3" t="s">
        <v>31</v>
      </c>
      <c r="D24" t="s">
        <v>7</v>
      </c>
      <c r="F24" t="s">
        <v>16</v>
      </c>
    </row>
    <row r="25" spans="2:6" x14ac:dyDescent="0.25">
      <c r="B25" s="2" t="s">
        <v>32</v>
      </c>
      <c r="C25" s="3" t="s">
        <v>33</v>
      </c>
      <c r="D25" t="s">
        <v>7</v>
      </c>
      <c r="E25" t="s">
        <v>34</v>
      </c>
      <c r="F25" t="s">
        <v>35</v>
      </c>
    </row>
    <row r="26" spans="2:6" x14ac:dyDescent="0.25">
      <c r="B26" s="2" t="s">
        <v>32</v>
      </c>
      <c r="C26" s="3" t="s">
        <v>36</v>
      </c>
      <c r="D26" t="s">
        <v>7</v>
      </c>
      <c r="E26" t="s">
        <v>34</v>
      </c>
      <c r="F26" t="s">
        <v>35</v>
      </c>
    </row>
    <row r="27" spans="2:6" x14ac:dyDescent="0.25">
      <c r="B27" s="2" t="s">
        <v>37</v>
      </c>
      <c r="C27" s="3" t="s">
        <v>38</v>
      </c>
      <c r="D27" t="s">
        <v>7</v>
      </c>
      <c r="E27" t="s">
        <v>39</v>
      </c>
      <c r="F27" t="s">
        <v>40</v>
      </c>
    </row>
    <row r="28" spans="2:6" x14ac:dyDescent="0.25">
      <c r="B28" s="2" t="s">
        <v>37</v>
      </c>
      <c r="C28" s="3" t="s">
        <v>41</v>
      </c>
    </row>
    <row r="29" spans="2:6" x14ac:dyDescent="0.25">
      <c r="B29" s="2" t="s">
        <v>42</v>
      </c>
      <c r="C29" s="3" t="s">
        <v>43</v>
      </c>
      <c r="D29" t="s">
        <v>7</v>
      </c>
      <c r="E29" t="s">
        <v>8</v>
      </c>
    </row>
    <row r="30" spans="2:6" x14ac:dyDescent="0.25">
      <c r="B30" s="2" t="s">
        <v>44</v>
      </c>
      <c r="C30" s="3" t="s">
        <v>45</v>
      </c>
    </row>
    <row r="31" spans="2:6" x14ac:dyDescent="0.25">
      <c r="B31" s="2" t="s">
        <v>44</v>
      </c>
      <c r="C31" s="3" t="s">
        <v>46</v>
      </c>
    </row>
    <row r="32" spans="2:6" x14ac:dyDescent="0.25">
      <c r="B32" s="2" t="s">
        <v>47</v>
      </c>
      <c r="C32" s="3" t="s">
        <v>48</v>
      </c>
      <c r="D32" t="s">
        <v>7</v>
      </c>
      <c r="E32" t="s">
        <v>49</v>
      </c>
      <c r="F32" t="s">
        <v>50</v>
      </c>
    </row>
    <row r="33" spans="2:6" x14ac:dyDescent="0.25">
      <c r="B33" s="2" t="s">
        <v>47</v>
      </c>
      <c r="C33" s="3" t="s">
        <v>51</v>
      </c>
      <c r="D33" t="s">
        <v>7</v>
      </c>
      <c r="F33" t="s">
        <v>50</v>
      </c>
    </row>
    <row r="34" spans="2:6" x14ac:dyDescent="0.25">
      <c r="B34" s="2" t="s">
        <v>47</v>
      </c>
      <c r="C34" s="3" t="s">
        <v>52</v>
      </c>
      <c r="D34" t="s">
        <v>7</v>
      </c>
      <c r="E34" t="s">
        <v>53</v>
      </c>
      <c r="F34" t="s">
        <v>54</v>
      </c>
    </row>
    <row r="35" spans="2:6" x14ac:dyDescent="0.25">
      <c r="B35" s="2" t="s">
        <v>47</v>
      </c>
      <c r="C35" s="3" t="s">
        <v>55</v>
      </c>
      <c r="D35" t="s">
        <v>7</v>
      </c>
      <c r="E35" t="s">
        <v>56</v>
      </c>
      <c r="F35" t="s">
        <v>54</v>
      </c>
    </row>
  </sheetData>
  <pageMargins left="0.7" right="0.7" top="0.75" bottom="0.75" header="0.3" footer="0.3"/>
  <headerFooter>
    <oddFooter>&amp;C_x000D_&amp;1#&amp;"Verdana"&amp;7&amp;K000000 Confidential</oddFooter>
  </headerFooter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5FD13-BD34-4BFE-A13C-124C45536AD4}">
  <dimension ref="A1:I35"/>
  <sheetViews>
    <sheetView showGridLines="0" topLeftCell="A4" zoomScaleNormal="100" workbookViewId="0">
      <selection activeCell="A7" sqref="A7:I7"/>
    </sheetView>
  </sheetViews>
  <sheetFormatPr defaultRowHeight="15" x14ac:dyDescent="0.25"/>
  <cols>
    <col min="1" max="1" width="43" bestFit="1" customWidth="1"/>
    <col min="2" max="2" width="37.28515625" bestFit="1" customWidth="1"/>
    <col min="3" max="3" width="30.28515625" bestFit="1" customWidth="1"/>
    <col min="4" max="4" width="26.28515625" bestFit="1" customWidth="1"/>
    <col min="5" max="5" width="30" bestFit="1" customWidth="1"/>
    <col min="6" max="6" width="15.140625" bestFit="1" customWidth="1"/>
    <col min="7" max="7" width="44.85546875" bestFit="1" customWidth="1"/>
    <col min="8" max="8" width="20.5703125" customWidth="1"/>
    <col min="9" max="9" width="26.7109375" bestFit="1" customWidth="1"/>
  </cols>
  <sheetData>
    <row r="1" spans="1:9" ht="34.5" x14ac:dyDescent="0.55000000000000004">
      <c r="B1" s="60" t="s">
        <v>57</v>
      </c>
      <c r="C1" s="61"/>
      <c r="D1" s="61"/>
      <c r="E1" s="61"/>
      <c r="F1" s="61"/>
      <c r="G1" s="61"/>
      <c r="H1" s="62"/>
    </row>
    <row r="2" spans="1:9" ht="21" customHeight="1" x14ac:dyDescent="0.55000000000000004">
      <c r="B2" s="36"/>
      <c r="C2" s="37"/>
      <c r="D2" s="37"/>
      <c r="E2" s="37"/>
      <c r="F2" s="37"/>
      <c r="G2" s="37"/>
      <c r="H2" s="38"/>
    </row>
    <row r="3" spans="1:9" s="27" customFormat="1" ht="18.75" x14ac:dyDescent="0.3">
      <c r="B3" s="39" t="s">
        <v>58</v>
      </c>
      <c r="C3" s="40" t="s">
        <v>59</v>
      </c>
      <c r="D3" s="40" t="s">
        <v>60</v>
      </c>
      <c r="E3" s="40" t="s">
        <v>61</v>
      </c>
      <c r="F3" s="40" t="s">
        <v>62</v>
      </c>
      <c r="G3" s="40" t="s">
        <v>63</v>
      </c>
      <c r="H3" s="41" t="s">
        <v>64</v>
      </c>
    </row>
    <row r="4" spans="1:9" ht="66.75" customHeight="1" x14ac:dyDescent="0.25">
      <c r="B4" s="33" t="s">
        <v>65</v>
      </c>
      <c r="C4" s="34" t="s">
        <v>66</v>
      </c>
      <c r="D4" s="34" t="s">
        <v>67</v>
      </c>
      <c r="E4" s="34" t="s">
        <v>68</v>
      </c>
      <c r="F4" s="34" t="s">
        <v>69</v>
      </c>
      <c r="G4" s="42">
        <v>46073</v>
      </c>
      <c r="H4" s="35">
        <v>126.9</v>
      </c>
    </row>
    <row r="7" spans="1:9" ht="24" x14ac:dyDescent="0.4">
      <c r="A7" s="59" t="s">
        <v>70</v>
      </c>
      <c r="B7" s="59"/>
      <c r="D7" s="59" t="s">
        <v>71</v>
      </c>
      <c r="E7" s="59"/>
      <c r="G7" s="59" t="s">
        <v>72</v>
      </c>
      <c r="H7" s="59"/>
      <c r="I7" s="59"/>
    </row>
    <row r="8" spans="1:9" s="27" customFormat="1" ht="18.75" x14ac:dyDescent="0.3">
      <c r="A8" s="32" t="s">
        <v>73</v>
      </c>
      <c r="B8" s="27" t="s">
        <v>74</v>
      </c>
      <c r="D8" s="32" t="s">
        <v>73</v>
      </c>
      <c r="E8" s="27" t="s">
        <v>75</v>
      </c>
      <c r="G8" s="32" t="s">
        <v>73</v>
      </c>
      <c r="H8" s="27" t="s">
        <v>76</v>
      </c>
      <c r="I8" s="27" t="s">
        <v>77</v>
      </c>
    </row>
    <row r="9" spans="1:9" x14ac:dyDescent="0.25">
      <c r="A9" s="1" t="s">
        <v>14</v>
      </c>
      <c r="B9" s="30">
        <v>0</v>
      </c>
      <c r="D9" s="1" t="s">
        <v>37</v>
      </c>
      <c r="E9" s="30">
        <v>24000000</v>
      </c>
      <c r="G9" s="1" t="s">
        <v>22</v>
      </c>
      <c r="H9" s="28">
        <v>7000</v>
      </c>
      <c r="I9" s="6">
        <v>6.5543071161048693E-3</v>
      </c>
    </row>
    <row r="10" spans="1:9" x14ac:dyDescent="0.25">
      <c r="A10" s="29" t="s">
        <v>22</v>
      </c>
      <c r="B10" s="30">
        <v>0</v>
      </c>
      <c r="D10" s="29" t="s">
        <v>38</v>
      </c>
      <c r="E10" s="30">
        <v>23000000</v>
      </c>
      <c r="G10" s="29" t="s">
        <v>14</v>
      </c>
      <c r="H10" s="28">
        <v>7000</v>
      </c>
      <c r="I10" s="6">
        <v>6.5543071161048693E-3</v>
      </c>
    </row>
    <row r="11" spans="1:9" x14ac:dyDescent="0.25">
      <c r="A11" s="29" t="s">
        <v>6</v>
      </c>
      <c r="B11" s="30">
        <v>0</v>
      </c>
      <c r="D11" s="29" t="s">
        <v>41</v>
      </c>
      <c r="E11" s="30">
        <v>1000000</v>
      </c>
      <c r="G11" s="31" t="s">
        <v>22</v>
      </c>
      <c r="H11" s="28">
        <v>7000</v>
      </c>
      <c r="I11" s="6">
        <v>6.5543071161048693E-3</v>
      </c>
    </row>
    <row r="12" spans="1:9" x14ac:dyDescent="0.25">
      <c r="A12" s="29" t="s">
        <v>30</v>
      </c>
      <c r="B12" s="30">
        <v>0</v>
      </c>
      <c r="D12" s="1" t="s">
        <v>42</v>
      </c>
      <c r="E12" s="30">
        <v>70000</v>
      </c>
      <c r="G12" s="1" t="s">
        <v>78</v>
      </c>
      <c r="H12" s="28">
        <v>240000</v>
      </c>
      <c r="I12" s="6">
        <v>0.2247191011235955</v>
      </c>
    </row>
    <row r="13" spans="1:9" x14ac:dyDescent="0.25">
      <c r="A13" s="29" t="s">
        <v>20</v>
      </c>
      <c r="B13" s="30">
        <v>0</v>
      </c>
      <c r="D13" s="29" t="s">
        <v>43</v>
      </c>
      <c r="E13" s="30">
        <v>70000</v>
      </c>
      <c r="G13" s="29" t="s">
        <v>5</v>
      </c>
      <c r="H13" s="28">
        <v>240000</v>
      </c>
      <c r="I13" s="6">
        <v>0.2247191011235955</v>
      </c>
    </row>
    <row r="14" spans="1:9" x14ac:dyDescent="0.25">
      <c r="A14" s="29" t="s">
        <v>9</v>
      </c>
      <c r="B14" s="30">
        <v>0</v>
      </c>
      <c r="D14" s="1" t="s">
        <v>79</v>
      </c>
      <c r="E14" s="30">
        <v>0</v>
      </c>
      <c r="G14" s="31" t="s">
        <v>12</v>
      </c>
      <c r="H14" s="28">
        <v>240000</v>
      </c>
      <c r="I14" s="6">
        <v>0.2247191011235955</v>
      </c>
    </row>
    <row r="15" spans="1:9" x14ac:dyDescent="0.25">
      <c r="A15" s="29" t="s">
        <v>17</v>
      </c>
      <c r="B15" s="30">
        <v>0</v>
      </c>
      <c r="D15" s="29" t="s">
        <v>51</v>
      </c>
      <c r="E15" s="30">
        <v>0</v>
      </c>
      <c r="G15" s="1" t="s">
        <v>80</v>
      </c>
      <c r="H15" s="28">
        <v>375000</v>
      </c>
      <c r="I15" s="6">
        <v>0.351123595505618</v>
      </c>
    </row>
    <row r="16" spans="1:9" x14ac:dyDescent="0.25">
      <c r="A16" s="29" t="s">
        <v>31</v>
      </c>
      <c r="B16" s="30">
        <v>0</v>
      </c>
      <c r="D16" s="29" t="s">
        <v>48</v>
      </c>
      <c r="E16" s="30">
        <v>0</v>
      </c>
      <c r="G16" s="29" t="s">
        <v>14</v>
      </c>
      <c r="H16" s="28">
        <v>375000</v>
      </c>
      <c r="I16" s="6">
        <v>0.351123595505618</v>
      </c>
    </row>
    <row r="17" spans="1:9" x14ac:dyDescent="0.25">
      <c r="A17" s="29" t="s">
        <v>23</v>
      </c>
      <c r="B17" s="30">
        <v>0</v>
      </c>
      <c r="D17" s="29" t="s">
        <v>55</v>
      </c>
      <c r="E17" s="30">
        <v>0</v>
      </c>
      <c r="G17" s="31" t="s">
        <v>17</v>
      </c>
      <c r="H17" s="28">
        <v>138000</v>
      </c>
      <c r="I17" s="6">
        <v>0.12921348314606743</v>
      </c>
    </row>
    <row r="18" spans="1:9" x14ac:dyDescent="0.25">
      <c r="A18" s="29" t="s">
        <v>27</v>
      </c>
      <c r="B18" s="30">
        <v>0</v>
      </c>
      <c r="D18" s="29" t="s">
        <v>52</v>
      </c>
      <c r="E18" s="30">
        <v>0</v>
      </c>
      <c r="G18" s="31" t="s">
        <v>19</v>
      </c>
      <c r="H18" s="28">
        <v>237000</v>
      </c>
      <c r="I18" s="6">
        <v>0.22191011235955055</v>
      </c>
    </row>
    <row r="19" spans="1:9" x14ac:dyDescent="0.25">
      <c r="A19" s="29" t="s">
        <v>25</v>
      </c>
      <c r="B19" s="30">
        <v>0</v>
      </c>
      <c r="D19" s="1" t="s">
        <v>44</v>
      </c>
      <c r="E19" s="30">
        <v>0</v>
      </c>
      <c r="G19" s="31" t="s">
        <v>18</v>
      </c>
      <c r="H19" s="28">
        <v>0</v>
      </c>
      <c r="I19" s="6">
        <v>0</v>
      </c>
    </row>
    <row r="20" spans="1:9" x14ac:dyDescent="0.25">
      <c r="A20" s="29" t="s">
        <v>10</v>
      </c>
      <c r="B20" s="30">
        <v>0</v>
      </c>
      <c r="D20" s="29" t="s">
        <v>46</v>
      </c>
      <c r="E20" s="30">
        <v>0</v>
      </c>
      <c r="G20" s="1" t="s">
        <v>81</v>
      </c>
      <c r="H20" s="28">
        <v>153000</v>
      </c>
      <c r="I20" s="6">
        <v>0.14325842696629212</v>
      </c>
    </row>
    <row r="21" spans="1:9" x14ac:dyDescent="0.25">
      <c r="A21" s="29" t="s">
        <v>29</v>
      </c>
      <c r="B21" s="30">
        <v>0</v>
      </c>
      <c r="D21" s="29" t="s">
        <v>45</v>
      </c>
      <c r="E21" s="30">
        <v>0</v>
      </c>
      <c r="G21" s="29" t="s">
        <v>14</v>
      </c>
      <c r="H21" s="28">
        <v>153000</v>
      </c>
      <c r="I21" s="6">
        <v>0.14325842696629212</v>
      </c>
    </row>
    <row r="22" spans="1:9" x14ac:dyDescent="0.25">
      <c r="A22" s="29" t="s">
        <v>19</v>
      </c>
      <c r="B22" s="30">
        <v>0</v>
      </c>
      <c r="D22" s="1" t="s">
        <v>82</v>
      </c>
      <c r="E22" s="30">
        <v>24070000</v>
      </c>
      <c r="G22" s="31" t="s">
        <v>23</v>
      </c>
      <c r="H22" s="28">
        <v>153000</v>
      </c>
      <c r="I22" s="6">
        <v>0.14325842696629212</v>
      </c>
    </row>
    <row r="23" spans="1:9" x14ac:dyDescent="0.25">
      <c r="A23" s="29" t="s">
        <v>21</v>
      </c>
      <c r="B23" s="30">
        <v>0</v>
      </c>
      <c r="G23" s="1" t="s">
        <v>83</v>
      </c>
      <c r="H23" s="28">
        <v>167000</v>
      </c>
      <c r="I23" s="6">
        <v>0.15636704119850187</v>
      </c>
    </row>
    <row r="24" spans="1:9" x14ac:dyDescent="0.25">
      <c r="A24" s="29" t="s">
        <v>18</v>
      </c>
      <c r="B24" s="30">
        <v>0</v>
      </c>
      <c r="G24" s="1" t="s">
        <v>84</v>
      </c>
      <c r="H24" s="28">
        <v>89000</v>
      </c>
      <c r="I24" s="6">
        <v>8.3333333333333329E-2</v>
      </c>
    </row>
    <row r="25" spans="1:9" x14ac:dyDescent="0.25">
      <c r="A25" s="29" t="s">
        <v>85</v>
      </c>
      <c r="B25" s="30">
        <v>0</v>
      </c>
      <c r="G25" s="1" t="s">
        <v>21</v>
      </c>
      <c r="H25" s="28">
        <v>37000</v>
      </c>
      <c r="I25" s="6">
        <v>3.4644194756554308E-2</v>
      </c>
    </row>
    <row r="26" spans="1:9" x14ac:dyDescent="0.25">
      <c r="A26" s="29" t="s">
        <v>86</v>
      </c>
      <c r="B26" s="30">
        <v>0</v>
      </c>
      <c r="G26" s="1" t="s">
        <v>82</v>
      </c>
      <c r="H26" s="28">
        <v>1068000</v>
      </c>
      <c r="I26" s="6">
        <v>1</v>
      </c>
    </row>
    <row r="27" spans="1:9" x14ac:dyDescent="0.25">
      <c r="A27" s="1" t="s">
        <v>32</v>
      </c>
      <c r="B27" s="30">
        <v>0</v>
      </c>
    </row>
    <row r="28" spans="1:9" x14ac:dyDescent="0.25">
      <c r="A28" s="1" t="s">
        <v>5</v>
      </c>
      <c r="B28" s="30">
        <v>24600</v>
      </c>
    </row>
    <row r="29" spans="1:9" x14ac:dyDescent="0.25">
      <c r="A29" s="29" t="s">
        <v>6</v>
      </c>
      <c r="B29" s="30">
        <v>24600</v>
      </c>
    </row>
    <row r="30" spans="1:9" x14ac:dyDescent="0.25">
      <c r="A30" s="29" t="s">
        <v>9</v>
      </c>
      <c r="B30" s="30">
        <v>0</v>
      </c>
    </row>
    <row r="31" spans="1:9" x14ac:dyDescent="0.25">
      <c r="A31" s="29" t="s">
        <v>13</v>
      </c>
      <c r="B31" s="30">
        <v>0</v>
      </c>
    </row>
    <row r="32" spans="1:9" x14ac:dyDescent="0.25">
      <c r="A32" s="29" t="s">
        <v>12</v>
      </c>
      <c r="B32" s="30">
        <v>0</v>
      </c>
    </row>
    <row r="33" spans="1:2" x14ac:dyDescent="0.25">
      <c r="A33" s="29" t="s">
        <v>10</v>
      </c>
      <c r="B33" s="30">
        <v>0</v>
      </c>
    </row>
    <row r="34" spans="1:2" x14ac:dyDescent="0.25">
      <c r="A34" s="29" t="s">
        <v>5</v>
      </c>
      <c r="B34" s="30">
        <v>0</v>
      </c>
    </row>
    <row r="35" spans="1:2" x14ac:dyDescent="0.25">
      <c r="A35" s="1" t="s">
        <v>82</v>
      </c>
      <c r="B35" s="30">
        <v>24600</v>
      </c>
    </row>
  </sheetData>
  <mergeCells count="4">
    <mergeCell ref="A7:B7"/>
    <mergeCell ref="D7:E7"/>
    <mergeCell ref="G7:I7"/>
    <mergeCell ref="B1:H1"/>
  </mergeCells>
  <pageMargins left="0.7" right="0.7" top="0.75" bottom="0.75" header="0.3" footer="0.3"/>
  <tableParts count="1"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CD365D-3720-4546-917D-9D1BD62463C3}">
  <dimension ref="A1:S45"/>
  <sheetViews>
    <sheetView tabSelected="1" zoomScale="85" zoomScaleNormal="85" workbookViewId="0">
      <pane ySplit="4" topLeftCell="A5" activePane="bottomLeft" state="frozen"/>
      <selection pane="bottomLeft" activeCell="J5" sqref="J5"/>
    </sheetView>
  </sheetViews>
  <sheetFormatPr defaultRowHeight="14.45" customHeight="1" x14ac:dyDescent="0.25"/>
  <cols>
    <col min="1" max="1" width="29" bestFit="1" customWidth="1"/>
    <col min="2" max="2" width="29" customWidth="1"/>
    <col min="3" max="3" width="24.7109375" bestFit="1" customWidth="1"/>
    <col min="4" max="4" width="21.42578125" customWidth="1"/>
    <col min="5" max="5" width="23" customWidth="1"/>
    <col min="6" max="6" width="16" bestFit="1" customWidth="1"/>
    <col min="7" max="7" width="17.140625" bestFit="1" customWidth="1"/>
    <col min="8" max="8" width="19.85546875" style="4" customWidth="1"/>
    <col min="9" max="9" width="18.28515625" customWidth="1"/>
    <col min="10" max="10" width="14.42578125" bestFit="1" customWidth="1"/>
    <col min="11" max="11" width="14.140625" customWidth="1"/>
    <col min="12" max="12" width="21.7109375" bestFit="1" customWidth="1"/>
    <col min="13" max="13" width="21.7109375" customWidth="1"/>
    <col min="14" max="14" width="18.5703125" bestFit="1" customWidth="1"/>
    <col min="15" max="15" width="21" customWidth="1"/>
    <col min="16" max="16" width="14.5703125" bestFit="1" customWidth="1"/>
    <col min="17" max="17" width="13.140625" customWidth="1"/>
    <col min="18" max="18" width="14.85546875" bestFit="1" customWidth="1"/>
    <col min="19" max="19" width="7.85546875" customWidth="1"/>
  </cols>
  <sheetData>
    <row r="1" spans="1:19" ht="15" x14ac:dyDescent="0.25"/>
    <row r="2" spans="1:19" ht="14.45" customHeight="1" x14ac:dyDescent="0.25">
      <c r="H2"/>
      <c r="I2" s="4"/>
    </row>
    <row r="3" spans="1:19" ht="26.25" x14ac:dyDescent="0.4">
      <c r="A3" s="7" t="s">
        <v>87</v>
      </c>
      <c r="B3" s="8">
        <f>SUM(table_kustannukset[KOKONAISKUSTANNUS])</f>
        <v>6782315.5</v>
      </c>
      <c r="M3" s="11"/>
    </row>
    <row r="4" spans="1:19" ht="104.25" x14ac:dyDescent="0.25">
      <c r="A4" s="9" t="s">
        <v>88</v>
      </c>
      <c r="B4" s="9" t="s">
        <v>89</v>
      </c>
      <c r="C4" s="9" t="s">
        <v>90</v>
      </c>
      <c r="D4" s="9" t="s">
        <v>91</v>
      </c>
      <c r="E4" s="9" t="s">
        <v>92</v>
      </c>
      <c r="F4" s="9" t="s">
        <v>93</v>
      </c>
      <c r="G4" s="10" t="s">
        <v>94</v>
      </c>
      <c r="H4" s="9" t="s">
        <v>95</v>
      </c>
      <c r="I4" s="10" t="s">
        <v>96</v>
      </c>
      <c r="J4" s="48" t="s">
        <v>97</v>
      </c>
      <c r="K4" s="9" t="s">
        <v>98</v>
      </c>
      <c r="L4" s="9" t="s">
        <v>99</v>
      </c>
      <c r="M4" s="9" t="s">
        <v>100</v>
      </c>
      <c r="O4" s="47" t="s">
        <v>88</v>
      </c>
      <c r="P4" s="48" t="s">
        <v>89</v>
      </c>
      <c r="Q4" s="47" t="s">
        <v>101</v>
      </c>
      <c r="R4" s="47" t="s">
        <v>102</v>
      </c>
      <c r="S4" s="49" t="s">
        <v>103</v>
      </c>
    </row>
    <row r="5" spans="1:19" ht="30" x14ac:dyDescent="0.25">
      <c r="A5" s="11" t="s">
        <v>5</v>
      </c>
      <c r="B5" s="11" t="s">
        <v>6</v>
      </c>
      <c r="C5" s="11"/>
      <c r="D5" s="12">
        <v>1</v>
      </c>
      <c r="E5" s="13">
        <v>20000</v>
      </c>
      <c r="F5" s="14" cm="1">
        <f t="array" ref="F5">_xlfn.XLOOKUP(1,(table_varaukset_kustannukset[YLÄKATEGORIA]=table_kustannukset[[#This Row],[YLÄKATEGORIA]])*(table_varaukset_kustannukset[ALAKATEGORIA]=table_kustannukset[[#This Row],[ALAKATEGORIA]]),table_varaukset_kustannukset[%],0)</f>
        <v>0.23</v>
      </c>
      <c r="G5" s="13">
        <f>table_kustannukset[[#This Row],[MÄÄRÄ]]*table_kustannukset[[#This Row],[YKSIKKÖHINTA]]*(1+table_kustannukset[[#This Row],[VARAUKSET]])</f>
        <v>24600</v>
      </c>
      <c r="H5" s="11" t="s">
        <v>104</v>
      </c>
      <c r="I5" s="11" t="s">
        <v>105</v>
      </c>
      <c r="J5" s="11" t="s">
        <v>106</v>
      </c>
      <c r="K5" s="11"/>
      <c r="L5" s="11" t="s">
        <v>107</v>
      </c>
      <c r="M5" s="11"/>
      <c r="O5" t="s">
        <v>5</v>
      </c>
      <c r="P5" t="s">
        <v>6</v>
      </c>
      <c r="Q5" s="6">
        <v>0.23</v>
      </c>
      <c r="S5" s="6">
        <f>IF(SUM(table_varaukset_kustannukset[[#This Row],[Tilaajatehtävät]:[Muut varaukset]]) &lt;&gt; 0,SUM(table_varaukset_kustannukset[[#This Row],[Tilaajatehtävät]:[Muut varaukset]]),"")</f>
        <v>0.23</v>
      </c>
    </row>
    <row r="6" spans="1:19" ht="30" x14ac:dyDescent="0.25">
      <c r="A6" s="11" t="s">
        <v>5</v>
      </c>
      <c r="B6" s="11" t="s">
        <v>9</v>
      </c>
      <c r="C6" s="11"/>
      <c r="D6" s="12">
        <v>1</v>
      </c>
      <c r="E6" s="13">
        <v>0</v>
      </c>
      <c r="F6" s="14" cm="1">
        <f t="array" ref="F6">_xlfn.XLOOKUP(1,(table_varaukset_kustannukset[YLÄKATEGORIA]=table_kustannukset[[#This Row],[YLÄKATEGORIA]])*(table_varaukset_kustannukset[ALAKATEGORIA]=table_kustannukset[[#This Row],[ALAKATEGORIA]]),table_varaukset_kustannukset[%],0)</f>
        <v>0</v>
      </c>
      <c r="G6" s="13">
        <f>table_kustannukset[[#This Row],[MÄÄRÄ]]*table_kustannukset[[#This Row],[YKSIKKÖHINTA]]*(1+table_kustannukset[[#This Row],[VARAUKSET]])</f>
        <v>0</v>
      </c>
      <c r="H6" s="11" t="s">
        <v>104</v>
      </c>
      <c r="I6" s="11" t="s">
        <v>105</v>
      </c>
      <c r="J6" s="11" t="s">
        <v>106</v>
      </c>
      <c r="K6" s="11"/>
      <c r="L6" s="11" t="s">
        <v>107</v>
      </c>
      <c r="M6" s="11"/>
      <c r="O6" t="s">
        <v>14</v>
      </c>
      <c r="P6" t="s">
        <v>17</v>
      </c>
      <c r="Q6" s="6">
        <v>0.23</v>
      </c>
      <c r="S6" s="6">
        <f>IF(SUM(table_varaukset_kustannukset[[#This Row],[Tilaajatehtävät]:[Muut varaukset]]) &lt;&gt; 0,SUM(table_varaukset_kustannukset[[#This Row],[Tilaajatehtävät]:[Muut varaukset]]),"")</f>
        <v>0.23</v>
      </c>
    </row>
    <row r="7" spans="1:19" ht="30" x14ac:dyDescent="0.25">
      <c r="A7" s="11" t="s">
        <v>5</v>
      </c>
      <c r="B7" s="11" t="s">
        <v>10</v>
      </c>
      <c r="C7" s="11"/>
      <c r="D7" s="12">
        <v>1</v>
      </c>
      <c r="E7" s="13">
        <v>0</v>
      </c>
      <c r="F7" s="14" cm="1">
        <f t="array" ref="F7">_xlfn.XLOOKUP(1,(table_varaukset_kustannukset[YLÄKATEGORIA]=table_kustannukset[[#This Row],[YLÄKATEGORIA]])*(table_varaukset_kustannukset[ALAKATEGORIA]=table_kustannukset[[#This Row],[ALAKATEGORIA]]),table_varaukset_kustannukset[%],0)</f>
        <v>0</v>
      </c>
      <c r="G7" s="13">
        <f>table_kustannukset[[#This Row],[MÄÄRÄ]]*table_kustannukset[[#This Row],[YKSIKKÖHINTA]]*(1+table_kustannukset[[#This Row],[VARAUKSET]])</f>
        <v>0</v>
      </c>
      <c r="H7" s="11" t="s">
        <v>104</v>
      </c>
      <c r="I7" s="11" t="s">
        <v>105</v>
      </c>
      <c r="J7" s="11" t="s">
        <v>106</v>
      </c>
      <c r="K7" s="11"/>
      <c r="L7" s="11" t="s">
        <v>107</v>
      </c>
      <c r="M7" s="11"/>
      <c r="O7" t="s">
        <v>5</v>
      </c>
      <c r="P7" t="s">
        <v>5</v>
      </c>
      <c r="Q7" s="6">
        <v>0.25</v>
      </c>
      <c r="S7" s="6">
        <f>IF(SUM(table_varaukset_kustannukset[[#This Row],[Tilaajatehtävät]:[Muut varaukset]]) &lt;&gt; 0,SUM(table_varaukset_kustannukset[[#This Row],[Tilaajatehtävät]:[Muut varaukset]]),"")</f>
        <v>0.25</v>
      </c>
    </row>
    <row r="8" spans="1:19" ht="45" x14ac:dyDescent="0.25">
      <c r="A8" s="11" t="s">
        <v>5</v>
      </c>
      <c r="B8" s="11" t="s">
        <v>5</v>
      </c>
      <c r="C8" s="11" t="s">
        <v>108</v>
      </c>
      <c r="D8" s="12">
        <v>22</v>
      </c>
      <c r="E8" s="13">
        <v>43323</v>
      </c>
      <c r="F8" s="14" cm="1">
        <f t="array" ref="F8">_xlfn.XLOOKUP(1,(table_varaukset_kustannukset[YLÄKATEGORIA]=table_kustannukset[[#This Row],[YLÄKATEGORIA]])*(table_varaukset_kustannukset[ALAKATEGORIA]=table_kustannukset[[#This Row],[ALAKATEGORIA]]),table_varaukset_kustannukset[%],0)</f>
        <v>0.25</v>
      </c>
      <c r="G8" s="13">
        <f>table_kustannukset[[#This Row],[MÄÄRÄ]]*table_kustannukset[[#This Row],[YKSIKKÖHINTA]]*(1+table_kustannukset[[#This Row],[VARAUKSET]])</f>
        <v>1191382.5</v>
      </c>
      <c r="H8" s="11" t="s">
        <v>104</v>
      </c>
      <c r="I8" s="11" t="s">
        <v>105</v>
      </c>
      <c r="J8" s="11" t="s">
        <v>106</v>
      </c>
      <c r="K8" s="11"/>
      <c r="L8" s="11" t="s">
        <v>107</v>
      </c>
      <c r="M8" s="11"/>
      <c r="O8" s="11" t="s">
        <v>5</v>
      </c>
      <c r="P8" s="11" t="s">
        <v>12</v>
      </c>
      <c r="Q8" s="6">
        <v>0.5</v>
      </c>
      <c r="S8" s="6">
        <f>IF(SUM(table_varaukset_kustannukset[[#This Row],[Tilaajatehtävät]:[Muut varaukset]]) &lt;&gt; 0,SUM(table_varaukset_kustannukset[[#This Row],[Tilaajatehtävät]:[Muut varaukset]]),"")</f>
        <v>0.5</v>
      </c>
    </row>
    <row r="9" spans="1:19" ht="30" x14ac:dyDescent="0.25">
      <c r="A9" s="11" t="s">
        <v>5</v>
      </c>
      <c r="B9" s="11" t="s">
        <v>12</v>
      </c>
      <c r="C9" s="11" t="s">
        <v>109</v>
      </c>
      <c r="D9" s="12">
        <v>1</v>
      </c>
      <c r="E9" s="13">
        <v>3444222</v>
      </c>
      <c r="F9" s="14" cm="1">
        <f t="array" ref="F9">_xlfn.XLOOKUP(1,(table_varaukset_kustannukset[YLÄKATEGORIA]=table_kustannukset[[#This Row],[YLÄKATEGORIA]])*(table_varaukset_kustannukset[ALAKATEGORIA]=table_kustannukset[[#This Row],[ALAKATEGORIA]]),table_varaukset_kustannukset[%],0)</f>
        <v>0.5</v>
      </c>
      <c r="G9" s="13">
        <f>table_kustannukset[[#This Row],[MÄÄRÄ]]*table_kustannukset[[#This Row],[YKSIKKÖHINTA]]*(1+table_kustannukset[[#This Row],[VARAUKSET]])</f>
        <v>5166333</v>
      </c>
      <c r="H9" s="11" t="s">
        <v>104</v>
      </c>
      <c r="I9" s="11" t="s">
        <v>105</v>
      </c>
      <c r="J9" s="11" t="s">
        <v>106</v>
      </c>
      <c r="K9" s="11"/>
      <c r="L9" s="11" t="s">
        <v>107</v>
      </c>
      <c r="M9" s="11"/>
      <c r="Q9" s="6"/>
      <c r="S9" s="6" t="str">
        <f>IF(SUM(table_varaukset_kustannukset[[#This Row],[Tilaajatehtävät]:[Muut varaukset]]) &lt;&gt; 0,SUM(table_varaukset_kustannukset[[#This Row],[Tilaajatehtävät]:[Muut varaukset]]),"")</f>
        <v/>
      </c>
    </row>
    <row r="10" spans="1:19" ht="30" x14ac:dyDescent="0.25">
      <c r="A10" s="11" t="s">
        <v>5</v>
      </c>
      <c r="B10" s="11" t="s">
        <v>13</v>
      </c>
      <c r="C10" s="11"/>
      <c r="D10" s="12">
        <v>2</v>
      </c>
      <c r="E10" s="13">
        <v>200000</v>
      </c>
      <c r="F10" s="14" cm="1">
        <f t="array" ref="F10">_xlfn.XLOOKUP(1,(table_varaukset_kustannukset[YLÄKATEGORIA]=table_kustannukset[[#This Row],[YLÄKATEGORIA]])*(table_varaukset_kustannukset[ALAKATEGORIA]=table_kustannukset[[#This Row],[ALAKATEGORIA]]),table_varaukset_kustannukset[%],0)</f>
        <v>0</v>
      </c>
      <c r="G10" s="13">
        <f>table_kustannukset[[#This Row],[MÄÄRÄ]]*table_kustannukset[[#This Row],[YKSIKKÖHINTA]]*(1+table_kustannukset[[#This Row],[VARAUKSET]])</f>
        <v>400000</v>
      </c>
      <c r="H10" s="11" t="s">
        <v>104</v>
      </c>
      <c r="I10" s="11" t="s">
        <v>110</v>
      </c>
      <c r="J10" s="11" t="s">
        <v>111</v>
      </c>
      <c r="K10" s="11"/>
      <c r="L10" s="11" t="s">
        <v>107</v>
      </c>
      <c r="M10" s="11"/>
      <c r="Q10" s="6"/>
      <c r="S10" s="6"/>
    </row>
    <row r="11" spans="1:19" ht="45" x14ac:dyDescent="0.25">
      <c r="A11" s="11" t="s">
        <v>14</v>
      </c>
      <c r="B11" s="11" t="s">
        <v>6</v>
      </c>
      <c r="C11" s="11" t="s">
        <v>112</v>
      </c>
      <c r="D11" s="12">
        <v>1</v>
      </c>
      <c r="E11" s="13">
        <v>0</v>
      </c>
      <c r="F11" s="14" cm="1">
        <f t="array" ref="F11">_xlfn.XLOOKUP(1,(table_varaukset_kustannukset[YLÄKATEGORIA]=table_kustannukset[[#This Row],[YLÄKATEGORIA]])*(table_varaukset_kustannukset[ALAKATEGORIA]=table_kustannukset[[#This Row],[ALAKATEGORIA]]),table_varaukset_kustannukset[%],0)</f>
        <v>0</v>
      </c>
      <c r="G11" s="13">
        <f>table_kustannukset[[#This Row],[MÄÄRÄ]]*table_kustannukset[[#This Row],[YKSIKKÖHINTA]]*(1+table_kustannukset[[#This Row],[VARAUKSET]])</f>
        <v>0</v>
      </c>
      <c r="H11" s="11" t="s">
        <v>104</v>
      </c>
      <c r="I11" s="11" t="s">
        <v>105</v>
      </c>
      <c r="J11" s="11" t="s">
        <v>106</v>
      </c>
      <c r="K11" s="11"/>
      <c r="L11" s="11" t="s">
        <v>113</v>
      </c>
      <c r="M11" s="11"/>
      <c r="Q11" s="6"/>
      <c r="S11" s="6"/>
    </row>
    <row r="12" spans="1:19" ht="45" x14ac:dyDescent="0.25">
      <c r="A12" s="11" t="s">
        <v>14</v>
      </c>
      <c r="B12" s="11" t="s">
        <v>9</v>
      </c>
      <c r="C12" s="11" t="s">
        <v>114</v>
      </c>
      <c r="D12" s="12">
        <v>1</v>
      </c>
      <c r="E12" s="13">
        <v>0</v>
      </c>
      <c r="F12" s="14" cm="1">
        <f t="array" ref="F12">_xlfn.XLOOKUP(1,(table_varaukset_kustannukset[YLÄKATEGORIA]=table_kustannukset[[#This Row],[YLÄKATEGORIA]])*(table_varaukset_kustannukset[ALAKATEGORIA]=table_kustannukset[[#This Row],[ALAKATEGORIA]]),table_varaukset_kustannukset[%],0)</f>
        <v>0</v>
      </c>
      <c r="G12" s="13">
        <f>table_kustannukset[[#This Row],[MÄÄRÄ]]*table_kustannukset[[#This Row],[YKSIKKÖHINTA]]*(1+table_kustannukset[[#This Row],[VARAUKSET]])</f>
        <v>0</v>
      </c>
      <c r="H12" s="11" t="s">
        <v>104</v>
      </c>
      <c r="I12" s="11" t="s">
        <v>105</v>
      </c>
      <c r="J12" s="11" t="s">
        <v>106</v>
      </c>
      <c r="K12" s="11">
        <v>59</v>
      </c>
      <c r="L12" s="11" t="s">
        <v>113</v>
      </c>
      <c r="M12" s="11"/>
      <c r="Q12" s="6"/>
      <c r="S12" s="6"/>
    </row>
    <row r="13" spans="1:19" ht="45" x14ac:dyDescent="0.25">
      <c r="A13" s="11" t="s">
        <v>14</v>
      </c>
      <c r="B13" s="11" t="s">
        <v>10</v>
      </c>
      <c r="C13" s="11" t="s">
        <v>115</v>
      </c>
      <c r="D13" s="12">
        <v>1</v>
      </c>
      <c r="E13" s="13">
        <v>0</v>
      </c>
      <c r="F13" s="14" cm="1">
        <f t="array" ref="F13">_xlfn.XLOOKUP(1,(table_varaukset_kustannukset[YLÄKATEGORIA]=table_kustannukset[[#This Row],[YLÄKATEGORIA]])*(table_varaukset_kustannukset[ALAKATEGORIA]=table_kustannukset[[#This Row],[ALAKATEGORIA]]),table_varaukset_kustannukset[%],0)</f>
        <v>0</v>
      </c>
      <c r="G13" s="13">
        <f>table_kustannukset[[#This Row],[MÄÄRÄ]]*table_kustannukset[[#This Row],[YKSIKKÖHINTA]]*(1+table_kustannukset[[#This Row],[VARAUKSET]])</f>
        <v>0</v>
      </c>
      <c r="H13" s="11" t="s">
        <v>104</v>
      </c>
      <c r="I13" s="11" t="s">
        <v>105</v>
      </c>
      <c r="J13" s="11" t="s">
        <v>106</v>
      </c>
      <c r="K13" s="11"/>
      <c r="L13" s="11" t="s">
        <v>113</v>
      </c>
      <c r="M13" s="11"/>
      <c r="Q13" s="6"/>
      <c r="S13" s="6"/>
    </row>
    <row r="14" spans="1:19" ht="45" x14ac:dyDescent="0.25">
      <c r="A14" s="11" t="s">
        <v>14</v>
      </c>
      <c r="B14" s="11" t="s">
        <v>17</v>
      </c>
      <c r="C14" s="11" t="s">
        <v>116</v>
      </c>
      <c r="D14" s="12">
        <v>11</v>
      </c>
      <c r="E14" s="13">
        <v>0</v>
      </c>
      <c r="F14" s="14" cm="1">
        <f t="array" ref="F14">_xlfn.XLOOKUP(1,(table_varaukset_kustannukset[YLÄKATEGORIA]=table_kustannukset[[#This Row],[YLÄKATEGORIA]])*(table_varaukset_kustannukset[ALAKATEGORIA]=table_kustannukset[[#This Row],[ALAKATEGORIA]]),table_varaukset_kustannukset[%],0)</f>
        <v>0.23</v>
      </c>
      <c r="G14" s="13">
        <f>table_kustannukset[[#This Row],[MÄÄRÄ]]*table_kustannukset[[#This Row],[YKSIKKÖHINTA]]*(1+table_kustannukset[[#This Row],[VARAUKSET]])</f>
        <v>0</v>
      </c>
      <c r="H14" s="11" t="s">
        <v>104</v>
      </c>
      <c r="I14" s="11" t="s">
        <v>105</v>
      </c>
      <c r="J14" s="11" t="s">
        <v>106</v>
      </c>
      <c r="K14" s="11"/>
      <c r="L14" s="11" t="s">
        <v>113</v>
      </c>
      <c r="M14" s="11"/>
      <c r="Q14" s="6"/>
      <c r="S14" s="6"/>
    </row>
    <row r="15" spans="1:19" ht="45" x14ac:dyDescent="0.25">
      <c r="A15" s="11" t="s">
        <v>14</v>
      </c>
      <c r="B15" s="11" t="s">
        <v>18</v>
      </c>
      <c r="C15" s="11" t="s">
        <v>117</v>
      </c>
      <c r="D15" s="12">
        <v>1</v>
      </c>
      <c r="E15" s="13">
        <v>0</v>
      </c>
      <c r="F15" s="14" cm="1">
        <f t="array" ref="F15">_xlfn.XLOOKUP(1,(table_varaukset_kustannukset[YLÄKATEGORIA]=table_kustannukset[[#This Row],[YLÄKATEGORIA]])*(table_varaukset_kustannukset[ALAKATEGORIA]=table_kustannukset[[#This Row],[ALAKATEGORIA]]),table_varaukset_kustannukset[%],0)</f>
        <v>0</v>
      </c>
      <c r="G15" s="13">
        <f>table_kustannukset[[#This Row],[MÄÄRÄ]]*table_kustannukset[[#This Row],[YKSIKKÖHINTA]]*(1+table_kustannukset[[#This Row],[VARAUKSET]])</f>
        <v>0</v>
      </c>
      <c r="H15" s="11" t="s">
        <v>104</v>
      </c>
      <c r="I15" s="11" t="s">
        <v>105</v>
      </c>
      <c r="J15" s="11" t="s">
        <v>106</v>
      </c>
      <c r="K15" s="11">
        <v>38</v>
      </c>
      <c r="L15" s="11" t="s">
        <v>113</v>
      </c>
      <c r="M15" s="11"/>
      <c r="Q15" s="6"/>
      <c r="S15" s="6"/>
    </row>
    <row r="16" spans="1:19" ht="45" x14ac:dyDescent="0.25">
      <c r="A16" s="11" t="s">
        <v>14</v>
      </c>
      <c r="B16" s="11" t="s">
        <v>19</v>
      </c>
      <c r="C16" s="11" t="s">
        <v>118</v>
      </c>
      <c r="D16" s="12">
        <v>1</v>
      </c>
      <c r="E16" s="13">
        <v>0</v>
      </c>
      <c r="F16" s="14" cm="1">
        <f t="array" ref="F16">_xlfn.XLOOKUP(1,(table_varaukset_kustannukset[YLÄKATEGORIA]=table_kustannukset[[#This Row],[YLÄKATEGORIA]])*(table_varaukset_kustannukset[ALAKATEGORIA]=table_kustannukset[[#This Row],[ALAKATEGORIA]]),table_varaukset_kustannukset[%],0)</f>
        <v>0</v>
      </c>
      <c r="G16" s="13">
        <f>table_kustannukset[[#This Row],[MÄÄRÄ]]*table_kustannukset[[#This Row],[YKSIKKÖHINTA]]*(1+table_kustannukset[[#This Row],[VARAUKSET]])</f>
        <v>0</v>
      </c>
      <c r="H16" s="11" t="s">
        <v>104</v>
      </c>
      <c r="I16" s="11" t="s">
        <v>105</v>
      </c>
      <c r="J16" s="11" t="s">
        <v>106</v>
      </c>
      <c r="K16" s="11">
        <v>4</v>
      </c>
      <c r="L16" s="11" t="s">
        <v>113</v>
      </c>
      <c r="M16" s="11"/>
      <c r="Q16" s="6"/>
      <c r="S16" s="6"/>
    </row>
    <row r="17" spans="1:19" ht="45" x14ac:dyDescent="0.25">
      <c r="A17" s="11" t="s">
        <v>14</v>
      </c>
      <c r="B17" s="11" t="s">
        <v>20</v>
      </c>
      <c r="C17" s="11"/>
      <c r="D17" s="12">
        <v>1</v>
      </c>
      <c r="E17" s="13">
        <v>0</v>
      </c>
      <c r="F17" s="14" cm="1">
        <f t="array" ref="F17">_xlfn.XLOOKUP(1,(table_varaukset_kustannukset[YLÄKATEGORIA]=table_kustannukset[[#This Row],[YLÄKATEGORIA]])*(table_varaukset_kustannukset[ALAKATEGORIA]=table_kustannukset[[#This Row],[ALAKATEGORIA]]),table_varaukset_kustannukset[%],0)</f>
        <v>0</v>
      </c>
      <c r="G17" s="13">
        <f>table_kustannukset[[#This Row],[MÄÄRÄ]]*table_kustannukset[[#This Row],[YKSIKKÖHINTA]]*(1+table_kustannukset[[#This Row],[VARAUKSET]])</f>
        <v>0</v>
      </c>
      <c r="H17" s="11" t="s">
        <v>104</v>
      </c>
      <c r="I17" s="11" t="s">
        <v>105</v>
      </c>
      <c r="J17" s="11" t="s">
        <v>106</v>
      </c>
      <c r="K17" s="11">
        <v>3</v>
      </c>
      <c r="L17" s="11" t="s">
        <v>113</v>
      </c>
      <c r="M17" s="11"/>
      <c r="Q17" s="6"/>
      <c r="S17" s="6"/>
    </row>
    <row r="18" spans="1:19" ht="45" x14ac:dyDescent="0.25">
      <c r="A18" s="11" t="s">
        <v>14</v>
      </c>
      <c r="B18" s="11" t="s">
        <v>21</v>
      </c>
      <c r="C18" s="11" t="s">
        <v>119</v>
      </c>
      <c r="D18" s="12">
        <v>1</v>
      </c>
      <c r="E18" s="13">
        <v>0</v>
      </c>
      <c r="F18" s="14" cm="1">
        <f t="array" ref="F18">_xlfn.XLOOKUP(1,(table_varaukset_kustannukset[YLÄKATEGORIA]=table_kustannukset[[#This Row],[YLÄKATEGORIA]])*(table_varaukset_kustannukset[ALAKATEGORIA]=table_kustannukset[[#This Row],[ALAKATEGORIA]]),table_varaukset_kustannukset[%],0)</f>
        <v>0</v>
      </c>
      <c r="G18" s="13">
        <f>table_kustannukset[[#This Row],[MÄÄRÄ]]*table_kustannukset[[#This Row],[YKSIKKÖHINTA]]*(1+table_kustannukset[[#This Row],[VARAUKSET]])</f>
        <v>0</v>
      </c>
      <c r="H18" s="11" t="s">
        <v>120</v>
      </c>
      <c r="I18" s="11" t="s">
        <v>105</v>
      </c>
      <c r="J18" s="11" t="s">
        <v>106</v>
      </c>
      <c r="K18" s="11">
        <v>4</v>
      </c>
      <c r="L18" s="11" t="s">
        <v>113</v>
      </c>
      <c r="M18" s="11"/>
      <c r="Q18" s="6"/>
      <c r="S18" s="6"/>
    </row>
    <row r="19" spans="1:19" ht="15" x14ac:dyDescent="0.25">
      <c r="A19" s="11" t="s">
        <v>14</v>
      </c>
      <c r="B19" s="11" t="s">
        <v>85</v>
      </c>
      <c r="C19" s="11" t="s">
        <v>85</v>
      </c>
      <c r="D19" s="12">
        <v>1</v>
      </c>
      <c r="E19" s="13">
        <v>0</v>
      </c>
      <c r="F19" s="14" cm="1">
        <f t="array" ref="F19">_xlfn.XLOOKUP(1,(table_varaukset_kustannukset[YLÄKATEGORIA]=table_kustannukset[[#This Row],[YLÄKATEGORIA]])*(table_varaukset_kustannukset[ALAKATEGORIA]=table_kustannukset[[#This Row],[ALAKATEGORIA]]),table_varaukset_kustannukset[%],0)</f>
        <v>0</v>
      </c>
      <c r="G19" s="13">
        <f>table_kustannukset[[#This Row],[MÄÄRÄ]]*table_kustannukset[[#This Row],[YKSIKKÖHINTA]]*(1+table_kustannukset[[#This Row],[VARAUKSET]])</f>
        <v>0</v>
      </c>
      <c r="H19" s="11" t="s">
        <v>104</v>
      </c>
      <c r="I19" s="11" t="s">
        <v>105</v>
      </c>
      <c r="J19" s="11" t="s">
        <v>106</v>
      </c>
      <c r="K19" s="11">
        <v>5</v>
      </c>
      <c r="L19" s="11"/>
      <c r="M19" s="11"/>
      <c r="Q19" s="6"/>
      <c r="S19" s="6"/>
    </row>
    <row r="20" spans="1:19" ht="45" x14ac:dyDescent="0.25">
      <c r="A20" s="11" t="s">
        <v>14</v>
      </c>
      <c r="B20" s="11" t="s">
        <v>22</v>
      </c>
      <c r="C20" s="11" t="s">
        <v>121</v>
      </c>
      <c r="D20" s="12">
        <v>1</v>
      </c>
      <c r="E20" s="13">
        <v>0</v>
      </c>
      <c r="F20" s="14" cm="1">
        <f t="array" ref="F20">_xlfn.XLOOKUP(1,(table_varaukset_kustannukset[YLÄKATEGORIA]=table_kustannukset[[#This Row],[YLÄKATEGORIA]])*(table_varaukset_kustannukset[ALAKATEGORIA]=table_kustannukset[[#This Row],[ALAKATEGORIA]]),table_varaukset_kustannukset[%],0)</f>
        <v>0</v>
      </c>
      <c r="G20" s="13">
        <f>table_kustannukset[[#This Row],[MÄÄRÄ]]*table_kustannukset[[#This Row],[YKSIKKÖHINTA]]*(1+table_kustannukset[[#This Row],[VARAUKSET]])</f>
        <v>0</v>
      </c>
      <c r="H20" s="11" t="s">
        <v>122</v>
      </c>
      <c r="I20" s="11" t="s">
        <v>105</v>
      </c>
      <c r="J20" s="11" t="s">
        <v>106</v>
      </c>
      <c r="K20" s="11">
        <v>6</v>
      </c>
      <c r="L20" s="11" t="s">
        <v>113</v>
      </c>
      <c r="M20" s="11"/>
      <c r="Q20" s="6"/>
      <c r="S20" s="6"/>
    </row>
    <row r="21" spans="1:19" ht="45" x14ac:dyDescent="0.25">
      <c r="A21" s="11" t="s">
        <v>14</v>
      </c>
      <c r="B21" s="11" t="s">
        <v>23</v>
      </c>
      <c r="C21" s="11" t="s">
        <v>123</v>
      </c>
      <c r="D21" s="12">
        <v>1</v>
      </c>
      <c r="E21" s="13">
        <v>0</v>
      </c>
      <c r="F21" s="14" cm="1">
        <f t="array" ref="F21">_xlfn.XLOOKUP(1,(table_varaukset_kustannukset[YLÄKATEGORIA]=table_kustannukset[[#This Row],[YLÄKATEGORIA]])*(table_varaukset_kustannukset[ALAKATEGORIA]=table_kustannukset[[#This Row],[ALAKATEGORIA]]),table_varaukset_kustannukset[%],0)</f>
        <v>0</v>
      </c>
      <c r="G21" s="13">
        <f>table_kustannukset[[#This Row],[MÄÄRÄ]]*table_kustannukset[[#This Row],[YKSIKKÖHINTA]]*(1+table_kustannukset[[#This Row],[VARAUKSET]])</f>
        <v>0</v>
      </c>
      <c r="H21" s="11" t="s">
        <v>104</v>
      </c>
      <c r="I21" s="11" t="s">
        <v>105</v>
      </c>
      <c r="J21" s="11" t="s">
        <v>106</v>
      </c>
      <c r="K21" s="11">
        <v>59</v>
      </c>
      <c r="L21" s="11" t="s">
        <v>113</v>
      </c>
      <c r="M21" s="11"/>
      <c r="Q21" s="6"/>
      <c r="S21" s="6"/>
    </row>
    <row r="22" spans="1:19" ht="45" x14ac:dyDescent="0.25">
      <c r="A22" s="11" t="s">
        <v>14</v>
      </c>
      <c r="B22" s="11" t="s">
        <v>23</v>
      </c>
      <c r="C22" s="11" t="s">
        <v>124</v>
      </c>
      <c r="D22" s="12">
        <v>1</v>
      </c>
      <c r="E22" s="13">
        <v>0</v>
      </c>
      <c r="F22" s="14" cm="1">
        <f t="array" ref="F22">_xlfn.XLOOKUP(1,(table_varaukset_kustannukset[YLÄKATEGORIA]=table_kustannukset[[#This Row],[YLÄKATEGORIA]])*(table_varaukset_kustannukset[ALAKATEGORIA]=table_kustannukset[[#This Row],[ALAKATEGORIA]]),table_varaukset_kustannukset[%],0)</f>
        <v>0</v>
      </c>
      <c r="G22" s="13">
        <f>table_kustannukset[[#This Row],[MÄÄRÄ]]*table_kustannukset[[#This Row],[YKSIKKÖHINTA]]*(1+table_kustannukset[[#This Row],[VARAUKSET]])</f>
        <v>0</v>
      </c>
      <c r="H22" s="11" t="s">
        <v>104</v>
      </c>
      <c r="I22" s="11" t="s">
        <v>105</v>
      </c>
      <c r="J22" s="11" t="s">
        <v>106</v>
      </c>
      <c r="K22" s="11"/>
      <c r="L22" s="11" t="s">
        <v>113</v>
      </c>
      <c r="M22" s="11"/>
      <c r="Q22" s="6"/>
      <c r="S22" s="6"/>
    </row>
    <row r="23" spans="1:19" ht="45" x14ac:dyDescent="0.25">
      <c r="A23" s="11" t="s">
        <v>14</v>
      </c>
      <c r="B23" s="11" t="s">
        <v>86</v>
      </c>
      <c r="C23" s="11" t="s">
        <v>125</v>
      </c>
      <c r="D23" s="12">
        <v>1</v>
      </c>
      <c r="E23" s="13">
        <v>0</v>
      </c>
      <c r="F23" s="14" cm="1">
        <f t="array" ref="F23">_xlfn.XLOOKUP(1,(table_varaukset_kustannukset[YLÄKATEGORIA]=table_kustannukset[[#This Row],[YLÄKATEGORIA]])*(table_varaukset_kustannukset[ALAKATEGORIA]=table_kustannukset[[#This Row],[ALAKATEGORIA]]),table_varaukset_kustannukset[%],0)</f>
        <v>0</v>
      </c>
      <c r="G23" s="13">
        <f>table_kustannukset[[#This Row],[MÄÄRÄ]]*table_kustannukset[[#This Row],[YKSIKKÖHINTA]]*(1+table_kustannukset[[#This Row],[VARAUKSET]])</f>
        <v>0</v>
      </c>
      <c r="H23" s="11" t="s">
        <v>104</v>
      </c>
      <c r="I23" s="11" t="s">
        <v>105</v>
      </c>
      <c r="J23" s="11" t="s">
        <v>106</v>
      </c>
      <c r="K23" s="11"/>
      <c r="L23" s="11" t="s">
        <v>113</v>
      </c>
      <c r="M23" s="11"/>
      <c r="Q23" s="6"/>
      <c r="S23" s="6"/>
    </row>
    <row r="24" spans="1:19" ht="30" x14ac:dyDescent="0.25">
      <c r="A24" s="11" t="s">
        <v>14</v>
      </c>
      <c r="B24" s="11" t="s">
        <v>25</v>
      </c>
      <c r="C24" s="11"/>
      <c r="D24" s="12">
        <v>1</v>
      </c>
      <c r="E24" s="13">
        <v>0</v>
      </c>
      <c r="F24" s="14" cm="1">
        <f t="array" ref="F24">_xlfn.XLOOKUP(1,(table_varaukset_kustannukset[YLÄKATEGORIA]=table_kustannukset[[#This Row],[YLÄKATEGORIA]])*(table_varaukset_kustannukset[ALAKATEGORIA]=table_kustannukset[[#This Row],[ALAKATEGORIA]]),table_varaukset_kustannukset[%],0)</f>
        <v>0</v>
      </c>
      <c r="G24" s="13">
        <f>table_kustannukset[[#This Row],[MÄÄRÄ]]*table_kustannukset[[#This Row],[YKSIKKÖHINTA]]*(1+table_kustannukset[[#This Row],[VARAUKSET]])</f>
        <v>0</v>
      </c>
      <c r="H24" s="11" t="s">
        <v>126</v>
      </c>
      <c r="I24" s="11" t="s">
        <v>105</v>
      </c>
      <c r="J24" s="11" t="s">
        <v>106</v>
      </c>
      <c r="K24" s="11"/>
      <c r="L24" s="11" t="s">
        <v>127</v>
      </c>
      <c r="M24" s="11"/>
      <c r="Q24" s="6"/>
      <c r="S24" s="6"/>
    </row>
    <row r="25" spans="1:19" ht="45" x14ac:dyDescent="0.25">
      <c r="A25" s="11" t="s">
        <v>14</v>
      </c>
      <c r="B25" s="11" t="s">
        <v>27</v>
      </c>
      <c r="C25" s="11"/>
      <c r="D25" s="12">
        <v>1</v>
      </c>
      <c r="E25" s="13">
        <v>0</v>
      </c>
      <c r="F25" s="14" cm="1">
        <f t="array" ref="F25">_xlfn.XLOOKUP(1,(table_varaukset_kustannukset[YLÄKATEGORIA]=table_kustannukset[[#This Row],[YLÄKATEGORIA]])*(table_varaukset_kustannukset[ALAKATEGORIA]=table_kustannukset[[#This Row],[ALAKATEGORIA]]),table_varaukset_kustannukset[%],0)</f>
        <v>0</v>
      </c>
      <c r="G25" s="13">
        <f>table_kustannukset[[#This Row],[MÄÄRÄ]]*table_kustannukset[[#This Row],[YKSIKKÖHINTA]]*(1+table_kustannukset[[#This Row],[VARAUKSET]])</f>
        <v>0</v>
      </c>
      <c r="H25" s="11" t="s">
        <v>104</v>
      </c>
      <c r="I25" s="11" t="s">
        <v>105</v>
      </c>
      <c r="J25" s="11" t="s">
        <v>106</v>
      </c>
      <c r="K25" s="11"/>
      <c r="L25" s="11" t="s">
        <v>128</v>
      </c>
      <c r="M25" s="11"/>
      <c r="Q25" s="6"/>
      <c r="S25" s="6"/>
    </row>
    <row r="26" spans="1:19" ht="30" x14ac:dyDescent="0.25">
      <c r="A26" s="11" t="s">
        <v>14</v>
      </c>
      <c r="B26" s="11" t="s">
        <v>29</v>
      </c>
      <c r="C26" s="11"/>
      <c r="D26" s="12">
        <v>1</v>
      </c>
      <c r="E26" s="13">
        <v>0</v>
      </c>
      <c r="F26" s="14" cm="1">
        <f t="array" ref="F26">_xlfn.XLOOKUP(1,(table_varaukset_kustannukset[YLÄKATEGORIA]=table_kustannukset[[#This Row],[YLÄKATEGORIA]])*(table_varaukset_kustannukset[ALAKATEGORIA]=table_kustannukset[[#This Row],[ALAKATEGORIA]]),table_varaukset_kustannukset[%],0)</f>
        <v>0</v>
      </c>
      <c r="G26" s="13">
        <f>table_kustannukset[[#This Row],[MÄÄRÄ]]*table_kustannukset[[#This Row],[YKSIKKÖHINTA]]*(1+table_kustannukset[[#This Row],[VARAUKSET]])</f>
        <v>0</v>
      </c>
      <c r="H26" s="11" t="s">
        <v>104</v>
      </c>
      <c r="I26" s="11" t="s">
        <v>110</v>
      </c>
      <c r="J26" s="11" t="s">
        <v>111</v>
      </c>
      <c r="K26" s="11"/>
      <c r="L26" s="11"/>
      <c r="M26" s="11"/>
      <c r="Q26" s="6"/>
      <c r="S26" s="6"/>
    </row>
    <row r="27" spans="1:19" ht="14.45" customHeight="1" x14ac:dyDescent="0.25">
      <c r="A27" s="11" t="s">
        <v>14</v>
      </c>
      <c r="B27" s="11" t="s">
        <v>30</v>
      </c>
      <c r="C27" s="11"/>
      <c r="D27" s="12">
        <v>1</v>
      </c>
      <c r="E27" s="13">
        <v>0</v>
      </c>
      <c r="F27" s="14" cm="1">
        <f t="array" ref="F27">_xlfn.XLOOKUP(1,(table_varaukset_kustannukset[YLÄKATEGORIA]=table_kustannukset[[#This Row],[YLÄKATEGORIA]])*(table_varaukset_kustannukset[ALAKATEGORIA]=table_kustannukset[[#This Row],[ALAKATEGORIA]]),table_varaukset_kustannukset[%],0)</f>
        <v>0</v>
      </c>
      <c r="G27" s="13">
        <f>table_kustannukset[[#This Row],[MÄÄRÄ]]*table_kustannukset[[#This Row],[YKSIKKÖHINTA]]*(1+table_kustannukset[[#This Row],[VARAUKSET]])</f>
        <v>0</v>
      </c>
      <c r="H27" s="11" t="s">
        <v>104</v>
      </c>
      <c r="I27" s="11" t="s">
        <v>110</v>
      </c>
      <c r="J27" s="11" t="s">
        <v>111</v>
      </c>
      <c r="K27" s="11"/>
      <c r="L27" s="11"/>
      <c r="M27" s="11"/>
      <c r="Q27" s="6"/>
      <c r="S27" s="6"/>
    </row>
    <row r="28" spans="1:19" ht="14.45" customHeight="1" x14ac:dyDescent="0.25">
      <c r="A28" s="11" t="s">
        <v>14</v>
      </c>
      <c r="B28" s="11" t="s">
        <v>31</v>
      </c>
      <c r="C28" s="11"/>
      <c r="D28" s="12">
        <v>2</v>
      </c>
      <c r="E28" s="13">
        <v>0</v>
      </c>
      <c r="F28" s="14" cm="1">
        <f t="array" ref="F28">_xlfn.XLOOKUP(1,(table_varaukset_kustannukset[YLÄKATEGORIA]=table_kustannukset[[#This Row],[YLÄKATEGORIA]])*(table_varaukset_kustannukset[ALAKATEGORIA]=table_kustannukset[[#This Row],[ALAKATEGORIA]]),table_varaukset_kustannukset[%],0)</f>
        <v>0</v>
      </c>
      <c r="G28" s="13">
        <f>table_kustannukset[[#This Row],[MÄÄRÄ]]*table_kustannukset[[#This Row],[YKSIKKÖHINTA]]*(1+table_kustannukset[[#This Row],[VARAUKSET]])</f>
        <v>0</v>
      </c>
      <c r="H28" s="11" t="s">
        <v>104</v>
      </c>
      <c r="I28" s="11" t="s">
        <v>110</v>
      </c>
      <c r="J28" s="11" t="s">
        <v>111</v>
      </c>
      <c r="K28" s="11"/>
      <c r="L28" s="11"/>
      <c r="M28" s="11"/>
      <c r="Q28" s="6"/>
      <c r="S28" s="6"/>
    </row>
    <row r="29" spans="1:19" ht="14.45" customHeight="1" x14ac:dyDescent="0.25">
      <c r="A29" s="11" t="s">
        <v>32</v>
      </c>
      <c r="B29" s="11" t="s">
        <v>33</v>
      </c>
      <c r="C29" s="11"/>
      <c r="D29" s="12">
        <v>3</v>
      </c>
      <c r="E29" s="13">
        <v>0</v>
      </c>
      <c r="F29" s="14" cm="1">
        <f t="array" ref="F29">_xlfn.XLOOKUP(1,(table_varaukset_kustannukset[YLÄKATEGORIA]=table_kustannukset[[#This Row],[YLÄKATEGORIA]])*(table_varaukset_kustannukset[ALAKATEGORIA]=table_kustannukset[[#This Row],[ALAKATEGORIA]]),table_varaukset_kustannukset[%],0)</f>
        <v>0</v>
      </c>
      <c r="G29" s="13">
        <f>table_kustannukset[[#This Row],[MÄÄRÄ]]*table_kustannukset[[#This Row],[YKSIKKÖHINTA]]*(1+table_kustannukset[[#This Row],[VARAUKSET]])</f>
        <v>0</v>
      </c>
      <c r="H29" s="11" t="s">
        <v>104</v>
      </c>
      <c r="I29" s="11" t="s">
        <v>105</v>
      </c>
      <c r="J29" s="11" t="s">
        <v>106</v>
      </c>
      <c r="K29" s="11"/>
      <c r="L29" s="11" t="s">
        <v>34</v>
      </c>
      <c r="M29" s="11"/>
      <c r="Q29" s="6"/>
      <c r="S29" s="6"/>
    </row>
    <row r="30" spans="1:19" ht="14.45" customHeight="1" x14ac:dyDescent="0.25">
      <c r="A30" s="15" t="s">
        <v>32</v>
      </c>
      <c r="B30" s="15" t="s">
        <v>36</v>
      </c>
      <c r="C30" s="15"/>
      <c r="D30" s="16">
        <v>4</v>
      </c>
      <c r="E30" s="17">
        <v>0</v>
      </c>
      <c r="F30" s="18" cm="1">
        <f t="array" ref="F30">_xlfn.XLOOKUP(1,(table_varaukset_kustannukset[YLÄKATEGORIA]=table_kustannukset[[#This Row],[YLÄKATEGORIA]])*(table_varaukset_kustannukset[ALAKATEGORIA]=table_kustannukset[[#This Row],[ALAKATEGORIA]]),table_varaukset_kustannukset[%],0)</f>
        <v>0</v>
      </c>
      <c r="G30" s="17">
        <f>table_kustannukset[[#This Row],[MÄÄRÄ]]*table_kustannukset[[#This Row],[YKSIKKÖHINTA]]*(1+table_kustannukset[[#This Row],[VARAUKSET]])</f>
        <v>0</v>
      </c>
      <c r="H30" s="15" t="s">
        <v>104</v>
      </c>
      <c r="I30" s="15" t="s">
        <v>105</v>
      </c>
      <c r="J30" s="11" t="s">
        <v>106</v>
      </c>
      <c r="K30" s="15"/>
      <c r="L30" s="15" t="s">
        <v>34</v>
      </c>
      <c r="M30" s="11"/>
      <c r="Q30" s="6"/>
      <c r="S30" s="6"/>
    </row>
    <row r="37" spans="17:19" ht="14.45" customHeight="1" x14ac:dyDescent="0.25">
      <c r="Q37" s="6"/>
      <c r="S37" s="6"/>
    </row>
    <row r="38" spans="17:19" ht="14.45" customHeight="1" x14ac:dyDescent="0.25">
      <c r="Q38" s="6"/>
      <c r="S38" s="6"/>
    </row>
    <row r="39" spans="17:19" ht="14.45" customHeight="1" x14ac:dyDescent="0.25">
      <c r="Q39" s="6"/>
      <c r="S39" s="6"/>
    </row>
    <row r="40" spans="17:19" ht="14.45" customHeight="1" x14ac:dyDescent="0.25">
      <c r="Q40" s="6"/>
      <c r="S40" s="6"/>
    </row>
    <row r="41" spans="17:19" ht="14.45" customHeight="1" x14ac:dyDescent="0.25">
      <c r="Q41" s="6"/>
      <c r="S41" s="6"/>
    </row>
    <row r="42" spans="17:19" ht="14.45" customHeight="1" x14ac:dyDescent="0.25">
      <c r="Q42" s="6"/>
      <c r="S42" s="6"/>
    </row>
    <row r="43" spans="17:19" ht="14.45" customHeight="1" x14ac:dyDescent="0.25">
      <c r="Q43" s="6"/>
      <c r="S43" s="6"/>
    </row>
    <row r="44" spans="17:19" ht="14.45" customHeight="1" x14ac:dyDescent="0.25">
      <c r="Q44" s="6"/>
      <c r="S44" s="6"/>
    </row>
    <row r="45" spans="17:19" ht="14.45" customHeight="1" x14ac:dyDescent="0.25">
      <c r="Q45" s="6"/>
      <c r="S45" s="6"/>
    </row>
  </sheetData>
  <dataValidations count="4">
    <dataValidation type="list" allowBlank="1" showInputMessage="1" showErrorMessage="1" sqref="I5:I30" xr:uid="{FF5F03A7-21D6-46B4-B6A5-79C5C901CAF9}">
      <formula1>"Pääomatalous, Käyttötalous"</formula1>
    </dataValidation>
    <dataValidation type="list" allowBlank="1" showInputMessage="1" showErrorMessage="1" sqref="I5:I30" xr:uid="{0B4BFF48-ABEB-4AB4-89CE-54248693F6EB}">
      <formula1>"Kustannus,Tulo"</formula1>
    </dataValidation>
    <dataValidation type="list" allowBlank="1" showInputMessage="1" showErrorMessage="1" sqref="P37:P45 P9:P30 P5:P7" xr:uid="{4D2AB201-2689-490D-83B8-B2207479CE86}">
      <formula1>$B$5:$B$30</formula1>
    </dataValidation>
    <dataValidation type="list" allowBlank="1" showInputMessage="1" showErrorMessage="1" sqref="O37:P45 O9:P30 O5:P7 R37:R45 R5:R30" xr:uid="{10C782D0-5217-402B-AC58-C84C0B7AFE4C}">
      <formula1>$A$5:$A$30</formula1>
    </dataValidation>
  </dataValidations>
  <pageMargins left="0.7" right="0.7" top="0.75" bottom="0.75" header="0.3" footer="0.3"/>
  <tableParts count="2">
    <tablePart r:id="rId1"/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DA022AB6-A633-41F6-9652-210195AB3CCB}">
          <x14:formula1>
            <xm:f>data!$G$10:$G$20</xm:f>
          </x14:formula1>
          <xm:sqref>K31:K1048576</xm:sqref>
        </x14:dataValidation>
        <x14:dataValidation type="list" allowBlank="1" showInputMessage="1" showErrorMessage="1" xr:uid="{26288D58-443F-4DF4-8942-1D55F97ED1FB}">
          <x14:formula1>
            <xm:f>data!$N$5:$N$1048576</xm:f>
          </x14:formula1>
          <xm:sqref>P8 B5:B1048576</xm:sqref>
        </x14:dataValidation>
        <x14:dataValidation type="list" allowBlank="1" showInputMessage="1" showErrorMessage="1" xr:uid="{A3CB31EE-FD37-4025-A66F-B20FC3B65464}">
          <x14:formula1>
            <xm:f>data!$M$5:$M$1048576</xm:f>
          </x14:formula1>
          <xm:sqref>O8 A5:A1048576</xm:sqref>
        </x14:dataValidation>
        <x14:dataValidation type="list" allowBlank="1" showInputMessage="1" showErrorMessage="1" xr:uid="{8E2CCFCC-CF51-4F7B-8BE6-F446A27F9123}">
          <x14:formula1>
            <xm:f>data!$H$6:$H$1048576</xm:f>
          </x14:formula1>
          <xm:sqref>H5:H1048576</xm:sqref>
        </x14:dataValidation>
        <x14:dataValidation type="list" allowBlank="1" showInputMessage="1" showErrorMessage="1" xr:uid="{83217DF4-0BF3-4909-9E14-3E42A73DBE8D}">
          <x14:formula1>
            <xm:f>data!$I$6:$I$1048576</xm:f>
          </x14:formula1>
          <xm:sqref>J5:J1048576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FB056B-B1A6-44C0-8BB7-D24EA61604D3}">
  <dimension ref="A1:U13"/>
  <sheetViews>
    <sheetView zoomScale="80" zoomScaleNormal="80" workbookViewId="0">
      <selection activeCell="D20" sqref="D20"/>
    </sheetView>
  </sheetViews>
  <sheetFormatPr defaultRowHeight="15" x14ac:dyDescent="0.25"/>
  <cols>
    <col min="1" max="1" width="23.85546875" bestFit="1" customWidth="1"/>
    <col min="2" max="2" width="29.140625" bestFit="1" customWidth="1"/>
    <col min="3" max="3" width="14" bestFit="1" customWidth="1"/>
    <col min="4" max="4" width="11.5703125" bestFit="1" customWidth="1"/>
    <col min="5" max="5" width="17.140625" bestFit="1" customWidth="1"/>
    <col min="6" max="6" width="17" bestFit="1" customWidth="1"/>
    <col min="7" max="7" width="18.140625" bestFit="1" customWidth="1"/>
    <col min="8" max="8" width="23.5703125" customWidth="1"/>
    <col min="9" max="9" width="10.140625" customWidth="1"/>
    <col min="10" max="10" width="14.140625" bestFit="1" customWidth="1"/>
    <col min="11" max="11" width="31.28515625" customWidth="1"/>
    <col min="12" max="12" width="42" customWidth="1"/>
    <col min="13" max="13" width="29.5703125" customWidth="1"/>
    <col min="14" max="14" width="18.5703125" bestFit="1" customWidth="1"/>
    <col min="15" max="15" width="10.28515625" customWidth="1"/>
    <col min="19" max="19" width="20.28515625" customWidth="1"/>
    <col min="20" max="20" width="23" customWidth="1"/>
    <col min="21" max="21" width="18.42578125" customWidth="1"/>
    <col min="22" max="22" width="14.5703125" customWidth="1"/>
  </cols>
  <sheetData>
    <row r="1" spans="1:21" x14ac:dyDescent="0.25">
      <c r="A1" s="63"/>
      <c r="B1" s="63"/>
      <c r="C1" s="63"/>
      <c r="D1" s="63"/>
      <c r="E1" s="63"/>
      <c r="F1" s="63"/>
      <c r="G1" s="63"/>
    </row>
    <row r="3" spans="1:21" ht="30.75" customHeight="1" x14ac:dyDescent="0.4">
      <c r="A3" s="7" t="s">
        <v>129</v>
      </c>
      <c r="B3" s="8">
        <f>SUM(table_tulot[KOKONAISTULOT])</f>
        <v>2220000</v>
      </c>
    </row>
    <row r="4" spans="1:21" s="9" customFormat="1" ht="108.75" x14ac:dyDescent="0.25">
      <c r="A4" s="9" t="s">
        <v>88</v>
      </c>
      <c r="B4" s="9" t="s">
        <v>89</v>
      </c>
      <c r="C4" s="9" t="s">
        <v>90</v>
      </c>
      <c r="D4" s="9" t="s">
        <v>91</v>
      </c>
      <c r="E4" s="9" t="s">
        <v>92</v>
      </c>
      <c r="F4" s="9" t="s">
        <v>93</v>
      </c>
      <c r="G4" s="9" t="s">
        <v>130</v>
      </c>
      <c r="H4" s="9" t="s">
        <v>95</v>
      </c>
      <c r="I4" s="9" t="s">
        <v>98</v>
      </c>
      <c r="J4" s="9" t="s">
        <v>96</v>
      </c>
      <c r="K4" s="9" t="s">
        <v>99</v>
      </c>
      <c r="L4" s="9" t="s">
        <v>100</v>
      </c>
      <c r="N4" s="47" t="s">
        <v>88</v>
      </c>
      <c r="O4" s="48" t="s">
        <v>131</v>
      </c>
      <c r="P4" s="47" t="s">
        <v>132</v>
      </c>
      <c r="Q4" s="47" t="s">
        <v>102</v>
      </c>
      <c r="R4" s="49" t="s">
        <v>103</v>
      </c>
      <c r="T4" s="9" t="s">
        <v>133</v>
      </c>
      <c r="U4" s="9" t="s">
        <v>91</v>
      </c>
    </row>
    <row r="5" spans="1:21" ht="30" x14ac:dyDescent="0.25">
      <c r="A5" s="19" t="s">
        <v>37</v>
      </c>
      <c r="B5" s="19" t="s">
        <v>38</v>
      </c>
      <c r="C5" s="19"/>
      <c r="D5" s="20">
        <v>5</v>
      </c>
      <c r="E5" s="21">
        <v>230000</v>
      </c>
      <c r="F5" s="22" cm="1">
        <f t="array" ref="F5">_xlfn.XLOOKUP(1,(table_varaukset_tulot[YLÄKATEGORIA]=table_tulot[[#This Row],[YLÄKATEGORIA]])*(table_varaukset_tulot[KATEGORIA]=table_tulot[[#This Row],[ALAKATEGORIA]]),table_varaukset_tulot[%],0)</f>
        <v>0</v>
      </c>
      <c r="G5" s="21">
        <f>table_tulot[[#This Row],[MÄÄRÄ]]*table_tulot[[#This Row],[YKSIKKÖHINTA]]*(1+table_tulot[[#This Row],[VARAUKSET]])</f>
        <v>1150000</v>
      </c>
      <c r="H5" s="19" t="s">
        <v>104</v>
      </c>
      <c r="I5" s="19"/>
      <c r="J5" s="19" t="s">
        <v>105</v>
      </c>
      <c r="K5" s="19" t="s">
        <v>134</v>
      </c>
      <c r="L5" s="19"/>
      <c r="N5" t="s">
        <v>5</v>
      </c>
      <c r="O5" t="s">
        <v>6</v>
      </c>
      <c r="P5" s="6">
        <v>0.32</v>
      </c>
      <c r="Q5" s="6">
        <v>0.02</v>
      </c>
      <c r="R5" s="6">
        <f>IF(SUM(table_varaukset_tulot[[#This Row],[Varaus_1]:[Muut varaukset]]) &lt;&gt; 0,SUM(table_varaukset_tulot[[#This Row],[Varaus_1]:[Muut varaukset]]),"")</f>
        <v>0.34</v>
      </c>
      <c r="T5" t="s">
        <v>135</v>
      </c>
      <c r="U5" s="58">
        <v>23000</v>
      </c>
    </row>
    <row r="6" spans="1:21" ht="60" x14ac:dyDescent="0.25">
      <c r="A6" s="19" t="s">
        <v>37</v>
      </c>
      <c r="B6" s="19" t="s">
        <v>41</v>
      </c>
      <c r="C6" s="19"/>
      <c r="D6" s="20">
        <v>1</v>
      </c>
      <c r="E6" s="21">
        <v>1000000</v>
      </c>
      <c r="F6" s="22" cm="1">
        <f t="array" ref="F6">_xlfn.XLOOKUP(1,(table_varaukset_tulot[YLÄKATEGORIA]=table_tulot[[#This Row],[YLÄKATEGORIA]])*(table_varaukset_tulot[KATEGORIA]=table_tulot[[#This Row],[ALAKATEGORIA]]),table_varaukset_tulot[%],0)</f>
        <v>0</v>
      </c>
      <c r="G6" s="21">
        <f>table_tulot[[#This Row],[MÄÄRÄ]]*table_tulot[[#This Row],[YKSIKKÖHINTA]]*(1+table_tulot[[#This Row],[VARAUKSET]])</f>
        <v>1000000</v>
      </c>
      <c r="H6" s="19" t="s">
        <v>104</v>
      </c>
      <c r="I6" s="19">
        <v>30</v>
      </c>
      <c r="J6" s="19" t="s">
        <v>110</v>
      </c>
      <c r="K6" s="19" t="s">
        <v>136</v>
      </c>
      <c r="L6" s="19"/>
      <c r="N6" t="s">
        <v>14</v>
      </c>
      <c r="O6" t="s">
        <v>17</v>
      </c>
      <c r="P6" s="6"/>
      <c r="Q6" s="6">
        <v>0.04</v>
      </c>
      <c r="R6" s="6">
        <f>IF(SUM(table_varaukset_tulot[[#This Row],[Varaus_1]:[Muut varaukset]]) &lt;&gt; 0,SUM(table_varaukset_tulot[[#This Row],[Varaus_1]:[Muut varaukset]]),"")</f>
        <v>0.04</v>
      </c>
      <c r="T6" t="s">
        <v>137</v>
      </c>
      <c r="U6" s="58">
        <v>45000</v>
      </c>
    </row>
    <row r="7" spans="1:21" ht="60" x14ac:dyDescent="0.25">
      <c r="A7" s="19" t="s">
        <v>42</v>
      </c>
      <c r="B7" s="19" t="s">
        <v>43</v>
      </c>
      <c r="C7" s="19"/>
      <c r="D7" s="20">
        <v>1</v>
      </c>
      <c r="E7" s="21">
        <v>70000</v>
      </c>
      <c r="F7" s="22" cm="1">
        <f t="array" ref="F7">_xlfn.XLOOKUP(1,(table_varaukset_tulot[YLÄKATEGORIA]=table_tulot[[#This Row],[YLÄKATEGORIA]])*(table_varaukset_tulot[KATEGORIA]=table_tulot[[#This Row],[ALAKATEGORIA]]),table_varaukset_tulot[%],0)</f>
        <v>0</v>
      </c>
      <c r="G7" s="21">
        <f>table_tulot[[#This Row],[MÄÄRÄ]]*table_tulot[[#This Row],[YKSIKKÖHINTA]]*(1+table_tulot[[#This Row],[VARAUKSET]])</f>
        <v>70000</v>
      </c>
      <c r="H7" s="19" t="s">
        <v>104</v>
      </c>
      <c r="I7" s="19">
        <v>40</v>
      </c>
      <c r="J7" s="19" t="s">
        <v>105</v>
      </c>
      <c r="K7" s="19" t="s">
        <v>138</v>
      </c>
      <c r="L7" s="19"/>
      <c r="N7" t="s">
        <v>5</v>
      </c>
      <c r="O7" t="s">
        <v>5</v>
      </c>
      <c r="P7" s="6"/>
      <c r="Q7" s="6">
        <v>0.03</v>
      </c>
      <c r="R7" s="6">
        <f>IF(SUM(table_varaukset_tulot[[#This Row],[Varaus_1]:[Muut varaukset]]) &lt;&gt; 0,SUM(table_varaukset_tulot[[#This Row],[Varaus_1]:[Muut varaukset]]),"")</f>
        <v>0.03</v>
      </c>
      <c r="T7" t="s">
        <v>27</v>
      </c>
      <c r="U7" s="58">
        <v>300000</v>
      </c>
    </row>
    <row r="8" spans="1:21" x14ac:dyDescent="0.25">
      <c r="A8" s="19" t="s">
        <v>44</v>
      </c>
      <c r="B8" s="19" t="s">
        <v>45</v>
      </c>
      <c r="C8" s="19"/>
      <c r="D8" s="20">
        <v>1</v>
      </c>
      <c r="E8" s="21">
        <v>0</v>
      </c>
      <c r="F8" s="22" cm="1">
        <f t="array" ref="F8">_xlfn.XLOOKUP(1,(table_varaukset_tulot[YLÄKATEGORIA]=table_tulot[[#This Row],[YLÄKATEGORIA]])*(table_varaukset_tulot[KATEGORIA]=table_tulot[[#This Row],[ALAKATEGORIA]]),table_varaukset_tulot[%],0)</f>
        <v>0</v>
      </c>
      <c r="G8" s="21">
        <f>table_tulot[[#This Row],[MÄÄRÄ]]*table_tulot[[#This Row],[YKSIKKÖHINTA]]*(1+table_tulot[[#This Row],[VARAUKSET]])</f>
        <v>0</v>
      </c>
      <c r="H8" s="19" t="s">
        <v>104</v>
      </c>
      <c r="I8" s="19">
        <v>50</v>
      </c>
      <c r="J8" s="19" t="s">
        <v>110</v>
      </c>
      <c r="K8" s="19"/>
      <c r="L8" s="19"/>
      <c r="O8" s="6"/>
      <c r="T8" t="s">
        <v>139</v>
      </c>
      <c r="U8" s="58">
        <v>500040</v>
      </c>
    </row>
    <row r="9" spans="1:21" x14ac:dyDescent="0.25">
      <c r="A9" s="19" t="s">
        <v>44</v>
      </c>
      <c r="B9" s="19" t="s">
        <v>46</v>
      </c>
      <c r="C9" s="19"/>
      <c r="D9" s="20">
        <v>1</v>
      </c>
      <c r="E9" s="21">
        <v>0</v>
      </c>
      <c r="F9" s="22" cm="1">
        <f t="array" ref="F9">_xlfn.XLOOKUP(1,(table_varaukset_tulot[YLÄKATEGORIA]=table_tulot[[#This Row],[YLÄKATEGORIA]])*(table_varaukset_tulot[KATEGORIA]=table_tulot[[#This Row],[ALAKATEGORIA]]),table_varaukset_tulot[%],0)</f>
        <v>0</v>
      </c>
      <c r="G9" s="21">
        <f>table_tulot[[#This Row],[MÄÄRÄ]]*table_tulot[[#This Row],[YKSIKKÖHINTA]]*(1+table_tulot[[#This Row],[VARAUKSET]])</f>
        <v>0</v>
      </c>
      <c r="H9" s="19" t="s">
        <v>104</v>
      </c>
      <c r="I9" s="19">
        <v>60</v>
      </c>
      <c r="J9" s="19" t="s">
        <v>110</v>
      </c>
      <c r="K9" s="19"/>
      <c r="L9" s="19"/>
      <c r="O9" s="6"/>
      <c r="T9" t="s">
        <v>140</v>
      </c>
      <c r="U9" s="58"/>
    </row>
    <row r="10" spans="1:21" ht="30" x14ac:dyDescent="0.25">
      <c r="A10" s="19" t="s">
        <v>79</v>
      </c>
      <c r="B10" s="19" t="s">
        <v>48</v>
      </c>
      <c r="C10" s="19"/>
      <c r="D10" s="20">
        <v>1</v>
      </c>
      <c r="E10" s="21">
        <v>0</v>
      </c>
      <c r="F10" s="22" cm="1">
        <f t="array" ref="F10">_xlfn.XLOOKUP(1,(table_varaukset_tulot[YLÄKATEGORIA]=table_tulot[[#This Row],[YLÄKATEGORIA]])*(table_varaukset_tulot[KATEGORIA]=table_tulot[[#This Row],[ALAKATEGORIA]]),table_varaukset_tulot[%],0)</f>
        <v>0</v>
      </c>
      <c r="G10" s="21">
        <f>table_tulot[[#This Row],[MÄÄRÄ]]*table_tulot[[#This Row],[YKSIKKÖHINTA]]*(1+table_tulot[[#This Row],[VARAUKSET]])</f>
        <v>0</v>
      </c>
      <c r="H10" s="19" t="s">
        <v>120</v>
      </c>
      <c r="I10" s="19">
        <v>23</v>
      </c>
      <c r="J10" s="19" t="s">
        <v>110</v>
      </c>
      <c r="K10" s="19" t="s">
        <v>141</v>
      </c>
      <c r="L10" s="19"/>
      <c r="O10" s="6"/>
    </row>
    <row r="11" spans="1:21" ht="30" x14ac:dyDescent="0.25">
      <c r="A11" s="19" t="s">
        <v>79</v>
      </c>
      <c r="B11" s="19" t="s">
        <v>51</v>
      </c>
      <c r="C11" s="19"/>
      <c r="D11" s="20">
        <v>1</v>
      </c>
      <c r="E11" s="21">
        <v>0</v>
      </c>
      <c r="F11" s="22" cm="1">
        <f t="array" ref="F11">_xlfn.XLOOKUP(1,(table_varaukset_tulot[YLÄKATEGORIA]=table_tulot[[#This Row],[YLÄKATEGORIA]])*(table_varaukset_tulot[KATEGORIA]=table_tulot[[#This Row],[ALAKATEGORIA]]),table_varaukset_tulot[%],0)</f>
        <v>0</v>
      </c>
      <c r="G11" s="21">
        <f>table_tulot[[#This Row],[MÄÄRÄ]]*table_tulot[[#This Row],[YKSIKKÖHINTA]]*(1+table_tulot[[#This Row],[VARAUKSET]])</f>
        <v>0</v>
      </c>
      <c r="H11" s="19" t="s">
        <v>122</v>
      </c>
      <c r="I11" s="19">
        <v>53</v>
      </c>
      <c r="J11" s="19" t="s">
        <v>110</v>
      </c>
      <c r="K11" s="19" t="s">
        <v>142</v>
      </c>
      <c r="L11" s="19"/>
      <c r="O11" s="6"/>
    </row>
    <row r="12" spans="1:21" ht="30" x14ac:dyDescent="0.25">
      <c r="A12" s="19" t="s">
        <v>79</v>
      </c>
      <c r="B12" s="19" t="s">
        <v>52</v>
      </c>
      <c r="C12" s="19"/>
      <c r="D12" s="20">
        <v>1</v>
      </c>
      <c r="E12" s="21">
        <v>0</v>
      </c>
      <c r="F12" s="22" cm="1">
        <f t="array" ref="F12">_xlfn.XLOOKUP(1,(table_varaukset_tulot[YLÄKATEGORIA]=table_tulot[[#This Row],[YLÄKATEGORIA]])*(table_varaukset_tulot[KATEGORIA]=table_tulot[[#This Row],[ALAKATEGORIA]]),table_varaukset_tulot[%],0)</f>
        <v>0</v>
      </c>
      <c r="G12" s="21">
        <f>table_tulot[[#This Row],[MÄÄRÄ]]*table_tulot[[#This Row],[YKSIKKÖHINTA]]*(1+table_tulot[[#This Row],[VARAUKSET]])</f>
        <v>0</v>
      </c>
      <c r="H12" s="19" t="s">
        <v>120</v>
      </c>
      <c r="I12" s="19">
        <v>34</v>
      </c>
      <c r="J12" s="19" t="s">
        <v>105</v>
      </c>
      <c r="K12" s="19" t="s">
        <v>141</v>
      </c>
      <c r="L12" s="19"/>
    </row>
    <row r="13" spans="1:21" ht="30" x14ac:dyDescent="0.25">
      <c r="A13" s="19" t="s">
        <v>79</v>
      </c>
      <c r="B13" s="19" t="s">
        <v>55</v>
      </c>
      <c r="C13" s="19"/>
      <c r="D13" s="20">
        <v>1</v>
      </c>
      <c r="E13" s="21">
        <v>0</v>
      </c>
      <c r="F13" s="22" cm="1">
        <f t="array" ref="F13">_xlfn.XLOOKUP(1,(table_varaukset_tulot[YLÄKATEGORIA]=table_tulot[[#This Row],[YLÄKATEGORIA]])*(table_varaukset_tulot[KATEGORIA]=table_tulot[[#This Row],[ALAKATEGORIA]]),table_varaukset_tulot[%],0)</f>
        <v>0</v>
      </c>
      <c r="G13" s="21">
        <f>table_tulot[[#This Row],[MÄÄRÄ]]*table_tulot[[#This Row],[YKSIKKÖHINTA]]*(1+table_tulot[[#This Row],[VARAUKSET]])</f>
        <v>0</v>
      </c>
      <c r="H13" s="19" t="s">
        <v>122</v>
      </c>
      <c r="I13" s="19"/>
      <c r="J13" s="19" t="s">
        <v>105</v>
      </c>
      <c r="K13" s="19" t="s">
        <v>142</v>
      </c>
      <c r="L13" s="19"/>
    </row>
  </sheetData>
  <mergeCells count="1">
    <mergeCell ref="A1:G1"/>
  </mergeCells>
  <phoneticPr fontId="3" type="noConversion"/>
  <dataValidations count="6">
    <dataValidation type="list" allowBlank="1" showInputMessage="1" showErrorMessage="1" sqref="J5:J13" xr:uid="{68798CFC-893B-45D9-A642-6E4C20A7C44F}">
      <formula1>"Pääomatalous, Käyttötalous"</formula1>
    </dataValidation>
    <dataValidation type="list" allowBlank="1" showInputMessage="1" showErrorMessage="1" sqref="J5:J13" xr:uid="{5B63E883-0046-4FC8-8407-D587E535DCF8}">
      <formula1>"Kustannus,Tulo"</formula1>
    </dataValidation>
    <dataValidation type="list" allowBlank="1" showInputMessage="1" showErrorMessage="1" sqref="M10:M13" xr:uid="{8041A46E-0D1F-4FBD-BC49-4DC799AB9F62}">
      <formula1>$A$5:$A$13</formula1>
    </dataValidation>
    <dataValidation type="list" allowBlank="1" showInputMessage="1" showErrorMessage="1" sqref="N8:N11" xr:uid="{D056CD19-6CEF-4FB1-A0C1-E3A60C346D4A}">
      <formula1>$B$5:$B$13</formula1>
    </dataValidation>
    <dataValidation type="list" allowBlank="1" showInputMessage="1" showErrorMessage="1" sqref="N5:O7" xr:uid="{751002D8-DAD5-4CEF-896E-3A1D986E8C7B}">
      <formula1>$A$5:$A$29</formula1>
    </dataValidation>
    <dataValidation type="list" allowBlank="1" showInputMessage="1" showErrorMessage="1" sqref="O5:O7" xr:uid="{E214BC7A-D4BC-4A1E-88E8-63050576E43B}">
      <formula1>$B$5:$B$29</formula1>
    </dataValidation>
  </dataValidations>
  <pageMargins left="0.7" right="0.7" top="0.75" bottom="0.75" header="0.3" footer="0.3"/>
  <tableParts count="3">
    <tablePart r:id="rId1"/>
    <tablePart r:id="rId2"/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7076348F-E366-4917-B8D1-170E26500EF3}">
          <x14:formula1>
            <xm:f>data!$O$5:$O$1048576</xm:f>
          </x14:formula1>
          <xm:sqref>A5:A1048576</xm:sqref>
        </x14:dataValidation>
        <x14:dataValidation type="list" allowBlank="1" showInputMessage="1" showErrorMessage="1" xr:uid="{8A2DC063-FD77-4083-A0D0-43E9DEA0F441}">
          <x14:formula1>
            <xm:f>data!$P$5:$P$1048576</xm:f>
          </x14:formula1>
          <xm:sqref>B5:B1048576</xm:sqref>
        </x14:dataValidation>
        <x14:dataValidation type="list" allowBlank="1" showInputMessage="1" showErrorMessage="1" xr:uid="{D214F827-EDE1-4683-9CD3-CD9EAE1573B4}">
          <x14:formula1>
            <xm:f>data!$H$6:$H$1048576</xm:f>
          </x14:formula1>
          <xm:sqref>H5:H1048576</xm:sqref>
        </x14:dataValidation>
        <x14:dataValidation type="list" allowBlank="1" showInputMessage="1" showErrorMessage="1" xr:uid="{F737980B-ECB2-4524-B788-0F542C0BAB6C}">
          <x14:formula1>
            <xm:f>data!$Q$5:$Q$1048576</xm:f>
          </x14:formula1>
          <xm:sqref>T5:T1048576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94740-3206-49E8-805E-957FA09771D9}">
  <dimension ref="A1:L20"/>
  <sheetViews>
    <sheetView zoomScale="85" zoomScaleNormal="85" workbookViewId="0">
      <selection activeCell="D20" sqref="D20"/>
    </sheetView>
  </sheetViews>
  <sheetFormatPr defaultRowHeight="15" x14ac:dyDescent="0.25"/>
  <cols>
    <col min="1" max="1" width="34.7109375" bestFit="1" customWidth="1"/>
    <col min="2" max="2" width="28.85546875" bestFit="1" customWidth="1"/>
    <col min="3" max="3" width="34.85546875" bestFit="1" customWidth="1"/>
    <col min="4" max="4" width="25.28515625" bestFit="1" customWidth="1"/>
    <col min="5" max="5" width="17.7109375" bestFit="1" customWidth="1"/>
    <col min="6" max="6" width="17.7109375" customWidth="1"/>
    <col min="7" max="7" width="17.85546875" bestFit="1" customWidth="1"/>
    <col min="8" max="8" width="18.7109375" bestFit="1" customWidth="1"/>
    <col min="9" max="9" width="21.85546875" customWidth="1"/>
    <col min="10" max="10" width="15" bestFit="1" customWidth="1"/>
    <col min="11" max="11" width="48.5703125" bestFit="1" customWidth="1"/>
  </cols>
  <sheetData>
    <row r="1" spans="1:12" x14ac:dyDescent="0.25">
      <c r="J1" s="5"/>
    </row>
    <row r="3" spans="1:12" s="27" customFormat="1" ht="26.25" x14ac:dyDescent="0.4">
      <c r="A3" s="7" t="s">
        <v>143</v>
      </c>
      <c r="B3" s="23">
        <f>SUM(table_päästöt[PÄÄSTÖT])</f>
        <v>1068000</v>
      </c>
      <c r="C3"/>
      <c r="D3"/>
      <c r="E3"/>
      <c r="F3"/>
      <c r="G3"/>
      <c r="H3"/>
      <c r="I3"/>
      <c r="J3"/>
    </row>
    <row r="4" spans="1:12" ht="164.25" x14ac:dyDescent="0.25">
      <c r="A4" s="25" t="s">
        <v>144</v>
      </c>
      <c r="B4" s="26" t="s">
        <v>88</v>
      </c>
      <c r="C4" s="25" t="s">
        <v>89</v>
      </c>
      <c r="D4" s="25" t="s">
        <v>90</v>
      </c>
      <c r="E4" s="25" t="s">
        <v>72</v>
      </c>
      <c r="F4" s="25" t="s">
        <v>95</v>
      </c>
      <c r="G4" s="48" t="s">
        <v>97</v>
      </c>
      <c r="H4" s="25" t="s">
        <v>145</v>
      </c>
      <c r="I4" s="25" t="s">
        <v>146</v>
      </c>
      <c r="J4" s="9" t="s">
        <v>99</v>
      </c>
      <c r="K4" s="25" t="s">
        <v>100</v>
      </c>
    </row>
    <row r="5" spans="1:12" ht="30" x14ac:dyDescent="0.25">
      <c r="A5" s="19" t="s">
        <v>22</v>
      </c>
      <c r="B5" s="19" t="s">
        <v>14</v>
      </c>
      <c r="C5" s="19" t="s">
        <v>22</v>
      </c>
      <c r="D5" s="19" t="s">
        <v>121</v>
      </c>
      <c r="E5" s="24">
        <v>7000</v>
      </c>
      <c r="F5" s="24" t="s">
        <v>122</v>
      </c>
      <c r="G5" s="24" t="s">
        <v>106</v>
      </c>
      <c r="H5" s="22">
        <f t="shared" ref="H5:H20" si="0">E5/SUM($E$5:$E$20)</f>
        <v>6.5543071161048693E-3</v>
      </c>
      <c r="I5" s="19" t="s">
        <v>147</v>
      </c>
      <c r="J5" s="19"/>
      <c r="K5" s="19"/>
    </row>
    <row r="6" spans="1:12" ht="30" x14ac:dyDescent="0.25">
      <c r="A6" s="19" t="s">
        <v>78</v>
      </c>
      <c r="B6" s="19" t="s">
        <v>5</v>
      </c>
      <c r="C6" s="19" t="s">
        <v>12</v>
      </c>
      <c r="D6" s="19" t="s">
        <v>148</v>
      </c>
      <c r="E6" s="24">
        <v>240000</v>
      </c>
      <c r="F6" s="24" t="s">
        <v>104</v>
      </c>
      <c r="G6" s="24" t="s">
        <v>106</v>
      </c>
      <c r="H6" s="22">
        <f t="shared" si="0"/>
        <v>0.2247191011235955</v>
      </c>
      <c r="I6" s="19" t="s">
        <v>149</v>
      </c>
      <c r="J6" s="19"/>
      <c r="K6" s="19"/>
    </row>
    <row r="7" spans="1:12" x14ac:dyDescent="0.25">
      <c r="A7" s="19" t="s">
        <v>80</v>
      </c>
      <c r="B7" s="19" t="s">
        <v>14</v>
      </c>
      <c r="C7" s="19" t="s">
        <v>17</v>
      </c>
      <c r="D7" s="19" t="s">
        <v>150</v>
      </c>
      <c r="E7" s="24">
        <v>138000</v>
      </c>
      <c r="F7" s="24" t="s">
        <v>126</v>
      </c>
      <c r="G7" s="24" t="s">
        <v>106</v>
      </c>
      <c r="H7" s="22">
        <f t="shared" si="0"/>
        <v>0.12921348314606743</v>
      </c>
      <c r="I7" s="19" t="s">
        <v>147</v>
      </c>
      <c r="J7" s="19"/>
      <c r="K7" s="19"/>
    </row>
    <row r="8" spans="1:12" x14ac:dyDescent="0.25">
      <c r="A8" s="19" t="s">
        <v>80</v>
      </c>
      <c r="B8" s="19" t="s">
        <v>14</v>
      </c>
      <c r="C8" s="19" t="s">
        <v>18</v>
      </c>
      <c r="D8" s="19" t="s">
        <v>117</v>
      </c>
      <c r="E8" s="24">
        <v>0</v>
      </c>
      <c r="F8" s="24" t="s">
        <v>126</v>
      </c>
      <c r="G8" s="24" t="s">
        <v>106</v>
      </c>
      <c r="H8" s="22">
        <f t="shared" si="0"/>
        <v>0</v>
      </c>
      <c r="I8" s="19" t="s">
        <v>147</v>
      </c>
      <c r="J8" s="19"/>
      <c r="K8" s="19"/>
    </row>
    <row r="9" spans="1:12" x14ac:dyDescent="0.25">
      <c r="A9" s="19" t="s">
        <v>80</v>
      </c>
      <c r="B9" s="19" t="s">
        <v>14</v>
      </c>
      <c r="C9" s="19" t="s">
        <v>19</v>
      </c>
      <c r="D9" s="19" t="s">
        <v>151</v>
      </c>
      <c r="E9" s="24">
        <v>237000</v>
      </c>
      <c r="F9" s="24"/>
      <c r="G9" s="24" t="s">
        <v>106</v>
      </c>
      <c r="H9" s="22">
        <f t="shared" si="0"/>
        <v>0.22191011235955055</v>
      </c>
      <c r="I9" s="19" t="s">
        <v>147</v>
      </c>
      <c r="J9" s="19"/>
      <c r="K9" s="19"/>
      <c r="L9" s="28"/>
    </row>
    <row r="10" spans="1:12" ht="30" x14ac:dyDescent="0.25">
      <c r="A10" s="19" t="s">
        <v>81</v>
      </c>
      <c r="B10" s="19" t="s">
        <v>14</v>
      </c>
      <c r="C10" s="19" t="s">
        <v>23</v>
      </c>
      <c r="D10" s="19" t="s">
        <v>123</v>
      </c>
      <c r="E10" s="24">
        <v>115000</v>
      </c>
      <c r="F10" s="24"/>
      <c r="G10" s="24" t="s">
        <v>106</v>
      </c>
      <c r="H10" s="22">
        <f t="shared" si="0"/>
        <v>0.10767790262172285</v>
      </c>
      <c r="I10" s="19" t="s">
        <v>147</v>
      </c>
      <c r="J10" s="19"/>
      <c r="K10" s="19"/>
    </row>
    <row r="11" spans="1:12" ht="30" x14ac:dyDescent="0.25">
      <c r="A11" s="19" t="s">
        <v>81</v>
      </c>
      <c r="B11" s="19" t="s">
        <v>14</v>
      </c>
      <c r="C11" s="19" t="s">
        <v>23</v>
      </c>
      <c r="D11" s="19" t="s">
        <v>124</v>
      </c>
      <c r="E11" s="24">
        <v>38000</v>
      </c>
      <c r="F11" s="24"/>
      <c r="G11" s="24" t="s">
        <v>106</v>
      </c>
      <c r="H11" s="22">
        <f t="shared" si="0"/>
        <v>3.5580524344569285E-2</v>
      </c>
      <c r="I11" s="19"/>
      <c r="J11" s="19"/>
      <c r="K11" s="19"/>
    </row>
    <row r="12" spans="1:12" x14ac:dyDescent="0.25">
      <c r="A12" s="19" t="s">
        <v>83</v>
      </c>
      <c r="B12" s="19" t="s">
        <v>14</v>
      </c>
      <c r="C12" s="19" t="s">
        <v>6</v>
      </c>
      <c r="D12" s="19" t="s">
        <v>152</v>
      </c>
      <c r="E12" s="24">
        <v>138000</v>
      </c>
      <c r="F12" s="24"/>
      <c r="G12" s="24" t="s">
        <v>106</v>
      </c>
      <c r="H12" s="22">
        <f t="shared" si="0"/>
        <v>0.12921348314606743</v>
      </c>
      <c r="I12" s="19" t="s">
        <v>153</v>
      </c>
      <c r="J12" s="19"/>
      <c r="K12" s="19"/>
    </row>
    <row r="13" spans="1:12" x14ac:dyDescent="0.25">
      <c r="A13" s="19" t="s">
        <v>83</v>
      </c>
      <c r="B13" s="19" t="s">
        <v>14</v>
      </c>
      <c r="C13" s="19" t="s">
        <v>9</v>
      </c>
      <c r="D13" s="19" t="s">
        <v>9</v>
      </c>
      <c r="E13" s="24">
        <v>10000</v>
      </c>
      <c r="F13" s="24"/>
      <c r="G13" s="24" t="s">
        <v>106</v>
      </c>
      <c r="H13" s="22">
        <f t="shared" si="0"/>
        <v>9.3632958801498131E-3</v>
      </c>
      <c r="I13" s="19" t="s">
        <v>153</v>
      </c>
      <c r="J13" s="19"/>
      <c r="K13" s="19"/>
    </row>
    <row r="14" spans="1:12" x14ac:dyDescent="0.25">
      <c r="A14" s="19" t="s">
        <v>83</v>
      </c>
      <c r="B14" s="19" t="s">
        <v>14</v>
      </c>
      <c r="C14" s="19" t="s">
        <v>10</v>
      </c>
      <c r="D14" s="19" t="s">
        <v>154</v>
      </c>
      <c r="E14" s="24">
        <v>2000</v>
      </c>
      <c r="F14" s="24"/>
      <c r="G14" s="24" t="s">
        <v>155</v>
      </c>
      <c r="H14" s="22">
        <f t="shared" si="0"/>
        <v>1.8726591760299626E-3</v>
      </c>
      <c r="I14" s="19" t="s">
        <v>153</v>
      </c>
      <c r="J14" s="19"/>
      <c r="K14" s="19"/>
    </row>
    <row r="15" spans="1:12" x14ac:dyDescent="0.25">
      <c r="A15" s="19" t="s">
        <v>83</v>
      </c>
      <c r="B15" s="19" t="s">
        <v>14</v>
      </c>
      <c r="C15" s="19" t="s">
        <v>20</v>
      </c>
      <c r="D15" s="19" t="s">
        <v>156</v>
      </c>
      <c r="E15" s="24">
        <v>0</v>
      </c>
      <c r="F15" s="24"/>
      <c r="G15" s="24" t="s">
        <v>106</v>
      </c>
      <c r="H15" s="22">
        <f t="shared" si="0"/>
        <v>0</v>
      </c>
      <c r="I15" s="19"/>
      <c r="J15" s="19"/>
      <c r="K15" s="19"/>
    </row>
    <row r="16" spans="1:12" x14ac:dyDescent="0.25">
      <c r="A16" s="19" t="s">
        <v>83</v>
      </c>
      <c r="B16" s="19" t="s">
        <v>5</v>
      </c>
      <c r="C16" s="19" t="s">
        <v>6</v>
      </c>
      <c r="D16" s="19" t="s">
        <v>6</v>
      </c>
      <c r="E16" s="24">
        <v>7000</v>
      </c>
      <c r="F16" s="24"/>
      <c r="G16" s="24" t="s">
        <v>106</v>
      </c>
      <c r="H16" s="22">
        <f t="shared" si="0"/>
        <v>6.5543071161048693E-3</v>
      </c>
      <c r="I16" s="19" t="s">
        <v>157</v>
      </c>
      <c r="J16" s="19"/>
      <c r="K16" s="19"/>
    </row>
    <row r="17" spans="1:11" ht="30" x14ac:dyDescent="0.25">
      <c r="A17" s="19" t="s">
        <v>83</v>
      </c>
      <c r="B17" s="19" t="s">
        <v>5</v>
      </c>
      <c r="C17" s="19" t="s">
        <v>9</v>
      </c>
      <c r="D17" s="19" t="s">
        <v>158</v>
      </c>
      <c r="E17" s="24">
        <v>10000</v>
      </c>
      <c r="F17" s="24"/>
      <c r="G17" s="24" t="s">
        <v>106</v>
      </c>
      <c r="H17" s="22">
        <f t="shared" si="0"/>
        <v>9.3632958801498131E-3</v>
      </c>
      <c r="I17" s="19" t="s">
        <v>157</v>
      </c>
      <c r="J17" s="19"/>
      <c r="K17" s="19"/>
    </row>
    <row r="18" spans="1:11" x14ac:dyDescent="0.25">
      <c r="A18" s="19" t="s">
        <v>83</v>
      </c>
      <c r="B18" s="19" t="s">
        <v>5</v>
      </c>
      <c r="C18" s="19" t="s">
        <v>10</v>
      </c>
      <c r="D18" s="19" t="s">
        <v>159</v>
      </c>
      <c r="E18" s="24">
        <v>0</v>
      </c>
      <c r="F18" s="24"/>
      <c r="G18" s="24" t="s">
        <v>155</v>
      </c>
      <c r="H18" s="22">
        <f t="shared" si="0"/>
        <v>0</v>
      </c>
      <c r="I18" s="19" t="s">
        <v>157</v>
      </c>
      <c r="J18" s="19"/>
      <c r="K18" s="19"/>
    </row>
    <row r="19" spans="1:11" x14ac:dyDescent="0.25">
      <c r="A19" s="19" t="s">
        <v>84</v>
      </c>
      <c r="B19" s="19" t="s">
        <v>14</v>
      </c>
      <c r="C19" s="19" t="s">
        <v>86</v>
      </c>
      <c r="D19" s="19" t="s">
        <v>125</v>
      </c>
      <c r="E19" s="24">
        <v>89000</v>
      </c>
      <c r="F19" s="24"/>
      <c r="G19" s="24" t="s">
        <v>106</v>
      </c>
      <c r="H19" s="22">
        <f t="shared" si="0"/>
        <v>8.3333333333333329E-2</v>
      </c>
      <c r="I19" s="19" t="s">
        <v>147</v>
      </c>
      <c r="J19" s="19"/>
      <c r="K19" s="19"/>
    </row>
    <row r="20" spans="1:11" x14ac:dyDescent="0.25">
      <c r="A20" s="19" t="s">
        <v>21</v>
      </c>
      <c r="B20" s="19" t="s">
        <v>14</v>
      </c>
      <c r="C20" s="19" t="s">
        <v>21</v>
      </c>
      <c r="D20" s="19" t="s">
        <v>160</v>
      </c>
      <c r="E20" s="24">
        <v>37000</v>
      </c>
      <c r="F20" s="24"/>
      <c r="G20" s="24" t="s">
        <v>106</v>
      </c>
      <c r="H20" s="22">
        <f t="shared" si="0"/>
        <v>3.4644194756554308E-2</v>
      </c>
      <c r="I20" s="19" t="s">
        <v>147</v>
      </c>
      <c r="J20" s="19"/>
      <c r="K20" s="19"/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3362BE4A-060E-4ECD-A782-D275976C8A2C}">
          <x14:formula1>
            <xm:f>data!$M$5:$M$1048576</xm:f>
          </x14:formula1>
          <xm:sqref>B5:B1048576</xm:sqref>
        </x14:dataValidation>
        <x14:dataValidation type="list" allowBlank="1" showInputMessage="1" showErrorMessage="1" xr:uid="{42159187-550A-4CF3-93C9-D35F72B68CF3}">
          <x14:formula1>
            <xm:f>data!$N$5:$N$1048576</xm:f>
          </x14:formula1>
          <xm:sqref>C5:C1048576</xm:sqref>
        </x14:dataValidation>
        <x14:dataValidation type="list" allowBlank="1" showInputMessage="1" showErrorMessage="1" xr:uid="{4796A36B-414D-4222-B16D-F4A67C207C2D}">
          <x14:formula1>
            <xm:f>data!$H$6:$H$1048576</xm:f>
          </x14:formula1>
          <xm:sqref>F5:F1048576</xm:sqref>
        </x14:dataValidation>
        <x14:dataValidation type="list" allowBlank="1" showInputMessage="1" showErrorMessage="1" xr:uid="{A17D99C0-2E1E-4D60-AE5D-0EE25EC3B979}">
          <x14:formula1>
            <xm:f>data!$R$5:$R$1048576</xm:f>
          </x14:formula1>
          <xm:sqref>A5:A1048576</xm:sqref>
        </x14:dataValidation>
        <x14:dataValidation type="list" allowBlank="1" showInputMessage="1" showErrorMessage="1" xr:uid="{AA2F3916-17CB-4206-951B-F75364ADDF2A}">
          <x14:formula1>
            <xm:f>data!$I$6:$I$1048576</xm:f>
          </x14:formula1>
          <xm:sqref>G5:G1048576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327D3-7F08-4918-BED1-94F19A3225D4}">
  <dimension ref="A1:R30"/>
  <sheetViews>
    <sheetView zoomScale="76" zoomScaleNormal="130" workbookViewId="0">
      <selection activeCell="C3" sqref="C3:E3"/>
    </sheetView>
  </sheetViews>
  <sheetFormatPr defaultColWidth="9.140625" defaultRowHeight="15" x14ac:dyDescent="0.25"/>
  <cols>
    <col min="1" max="1" width="30.42578125" style="43" customWidth="1"/>
    <col min="2" max="3" width="40.42578125" style="43" bestFit="1" customWidth="1"/>
    <col min="4" max="4" width="24" style="43" bestFit="1" customWidth="1"/>
    <col min="5" max="5" width="34.7109375" style="43" bestFit="1" customWidth="1"/>
    <col min="6" max="6" width="36.140625" style="43" bestFit="1" customWidth="1"/>
    <col min="7" max="7" width="23.85546875" style="43" customWidth="1"/>
    <col min="8" max="8" width="22.42578125" style="43" customWidth="1"/>
    <col min="9" max="9" width="34.7109375" style="43" bestFit="1" customWidth="1"/>
    <col min="10" max="10" width="23.28515625" style="43" customWidth="1"/>
    <col min="11" max="11" width="17.7109375" style="43" customWidth="1"/>
    <col min="12" max="12" width="31.7109375" style="43" customWidth="1"/>
    <col min="13" max="13" width="47.7109375" style="43" bestFit="1" customWidth="1"/>
    <col min="14" max="14" width="39.140625" style="43" bestFit="1" customWidth="1"/>
    <col min="15" max="15" width="17" style="43" bestFit="1" customWidth="1"/>
    <col min="16" max="16" width="22.85546875" style="43" bestFit="1" customWidth="1"/>
    <col min="17" max="17" width="24.5703125" style="43" customWidth="1"/>
    <col min="18" max="18" width="33.42578125" style="43" bestFit="1" customWidth="1"/>
    <col min="19" max="19" width="9.140625" style="43"/>
    <col min="20" max="20" width="34.42578125" style="43" customWidth="1"/>
    <col min="21" max="21" width="50.28515625" style="43" customWidth="1"/>
    <col min="22" max="16384" width="9.140625" style="43"/>
  </cols>
  <sheetData>
    <row r="1" spans="1:18" ht="15" customHeight="1" x14ac:dyDescent="0.25">
      <c r="A1" s="65" t="s">
        <v>161</v>
      </c>
      <c r="B1" s="65"/>
      <c r="C1" s="65"/>
      <c r="D1" s="65"/>
      <c r="E1" s="65"/>
      <c r="H1" s="65" t="s">
        <v>162</v>
      </c>
      <c r="I1" s="65"/>
      <c r="K1" s="44"/>
      <c r="L1" s="44"/>
      <c r="M1" s="66" t="s">
        <v>163</v>
      </c>
      <c r="N1" s="65"/>
      <c r="O1" s="65"/>
      <c r="P1" s="65"/>
      <c r="Q1" s="65"/>
      <c r="R1" s="65"/>
    </row>
    <row r="2" spans="1:18" ht="15" customHeight="1" x14ac:dyDescent="0.25">
      <c r="A2" s="65"/>
      <c r="B2" s="65"/>
      <c r="C2" s="65"/>
      <c r="D2" s="65"/>
      <c r="E2" s="65"/>
      <c r="H2" s="65"/>
      <c r="I2" s="65"/>
      <c r="K2" s="44"/>
      <c r="L2" s="44"/>
      <c r="M2" s="66"/>
      <c r="N2" s="65"/>
      <c r="O2" s="65"/>
      <c r="P2" s="65"/>
      <c r="Q2" s="65"/>
      <c r="R2" s="65"/>
    </row>
    <row r="3" spans="1:18" s="45" customFormat="1" ht="28.5" x14ac:dyDescent="0.25">
      <c r="A3" s="64" t="s">
        <v>70</v>
      </c>
      <c r="B3" s="64"/>
      <c r="C3" s="64" t="s">
        <v>71</v>
      </c>
      <c r="D3" s="64"/>
      <c r="E3" s="64"/>
      <c r="F3" s="50" t="s">
        <v>72</v>
      </c>
      <c r="H3" s="57"/>
      <c r="I3" s="57"/>
      <c r="M3" s="64" t="s">
        <v>70</v>
      </c>
      <c r="N3" s="64"/>
      <c r="O3" s="64" t="s">
        <v>71</v>
      </c>
      <c r="P3" s="64"/>
      <c r="R3" s="50" t="s">
        <v>72</v>
      </c>
    </row>
    <row r="4" spans="1:18" ht="18.75" x14ac:dyDescent="0.25">
      <c r="A4" s="50" t="s">
        <v>88</v>
      </c>
      <c r="B4" s="50" t="s">
        <v>89</v>
      </c>
      <c r="C4" s="50" t="s">
        <v>88</v>
      </c>
      <c r="D4" s="50" t="s">
        <v>89</v>
      </c>
      <c r="E4" s="50" t="s">
        <v>164</v>
      </c>
      <c r="F4" s="46" t="s">
        <v>144</v>
      </c>
      <c r="H4" s="45"/>
      <c r="I4" s="45"/>
      <c r="M4" s="50" t="s">
        <v>88</v>
      </c>
      <c r="N4" s="50" t="s">
        <v>89</v>
      </c>
      <c r="O4" s="50" t="s">
        <v>88</v>
      </c>
      <c r="P4" s="50" t="s">
        <v>89</v>
      </c>
      <c r="Q4" s="50" t="s">
        <v>164</v>
      </c>
      <c r="R4" s="50" t="s">
        <v>144</v>
      </c>
    </row>
    <row r="5" spans="1:18" x14ac:dyDescent="0.25">
      <c r="A5" s="43" t="s">
        <v>14</v>
      </c>
      <c r="B5" s="43" t="s">
        <v>22</v>
      </c>
      <c r="C5" s="53" t="s">
        <v>37</v>
      </c>
      <c r="D5" s="53" t="s">
        <v>38</v>
      </c>
      <c r="E5" s="43" t="s">
        <v>135</v>
      </c>
      <c r="F5" s="43" t="s">
        <v>22</v>
      </c>
      <c r="H5" s="46" t="s">
        <v>95</v>
      </c>
      <c r="I5" s="46" t="s">
        <v>97</v>
      </c>
      <c r="M5" s="43" t="str" cm="1">
        <f t="array" ref="M5:M8">IF(_xlfn.UNIQUE(A5:A1048576)&lt;&gt;0,_xlfn.UNIQUE(A5:A1048576),"")</f>
        <v>Infrarakentaminen</v>
      </c>
      <c r="N5" s="43" t="str" cm="1">
        <f t="array" ref="N5:N27">IF(_xlfn.UNIQUE(B5:B1048576)&lt;&gt;0,_xlfn.UNIQUE(B5:B1048576),"")</f>
        <v>Energiahuolto</v>
      </c>
      <c r="O5" s="43" t="str" cm="1">
        <f t="array" ref="O5:O9">IF(_xlfn.UNIQUE(C5:C1048576)&lt;&gt;0,_xlfn.UNIQUE(C5:C1048576),"")</f>
        <v>Maan myynti tai vuokraus</v>
      </c>
      <c r="P5" s="43" t="str" cm="1">
        <f t="array" ref="P5:P14">IF(_xlfn.UNIQUE(D5:D1048576)&lt;&gt;0,_xlfn.UNIQUE(D5:D1048576),"")</f>
        <v>Maan myynti</v>
      </c>
      <c r="Q5" s="43" t="str" cm="1">
        <f t="array" ref="Q5:Q10">IF(_xlfn.UNIQUE(E5:E1048576)&lt;&gt;0,_xlfn.UNIQUE(E5:E1048576),"")</f>
        <v>Asuminen</v>
      </c>
      <c r="R5" s="43" t="str" cm="1">
        <f t="array" ref="R5:R13">IF(_xlfn.UNIQUE(F5:F1048576)&lt;&gt;0,_xlfn.UNIQUE(F5:F1048576),"")</f>
        <v>Energiahuolto</v>
      </c>
    </row>
    <row r="6" spans="1:18" x14ac:dyDescent="0.25">
      <c r="A6" s="43" t="s">
        <v>14</v>
      </c>
      <c r="B6" s="52" t="s">
        <v>6</v>
      </c>
      <c r="C6" s="53" t="s">
        <v>37</v>
      </c>
      <c r="D6" s="53" t="s">
        <v>41</v>
      </c>
      <c r="E6" s="43" t="s">
        <v>137</v>
      </c>
      <c r="F6" s="43" t="s">
        <v>78</v>
      </c>
      <c r="H6" s="43" t="s">
        <v>165</v>
      </c>
      <c r="I6" s="43" t="s">
        <v>111</v>
      </c>
      <c r="M6" s="43" t="str">
        <v>Maanhankinta</v>
      </c>
      <c r="N6" s="43" t="str">
        <v>Esirakentaminen</v>
      </c>
      <c r="O6" s="43" t="str">
        <v>Maankäyttötulot</v>
      </c>
      <c r="P6" s="43" t="str">
        <v>Maan vuokraus</v>
      </c>
      <c r="Q6" s="43" t="str">
        <v>Kaupallinen</v>
      </c>
      <c r="R6" s="43" t="str">
        <v>Julkisten palvelutilojen rakentaminen</v>
      </c>
    </row>
    <row r="7" spans="1:18" x14ac:dyDescent="0.25">
      <c r="A7" s="43" t="s">
        <v>14</v>
      </c>
      <c r="B7" s="43" t="s">
        <v>30</v>
      </c>
      <c r="C7" s="53" t="s">
        <v>42</v>
      </c>
      <c r="D7" s="53" t="s">
        <v>43</v>
      </c>
      <c r="E7" s="43" t="s">
        <v>27</v>
      </c>
      <c r="F7" s="43" t="s">
        <v>80</v>
      </c>
      <c r="H7" s="43" t="s">
        <v>126</v>
      </c>
      <c r="I7" s="43" t="s">
        <v>165</v>
      </c>
      <c r="M7" s="43" t="str">
        <v>Talonrakentaminen</v>
      </c>
      <c r="N7" s="43" t="str">
        <v>Kunnallistekniikan kunnossapito</v>
      </c>
      <c r="O7" s="43" t="str">
        <v>Verkostomaksut</v>
      </c>
      <c r="P7" s="43" t="str">
        <v>Maankäyttömaksut</v>
      </c>
      <c r="Q7" s="43" t="str">
        <v>Pysäköinti</v>
      </c>
      <c r="R7" s="43" t="str">
        <v>Katujen rakentaminen</v>
      </c>
    </row>
    <row r="8" spans="1:18" x14ac:dyDescent="0.25">
      <c r="A8" s="43" t="s">
        <v>14</v>
      </c>
      <c r="B8" s="43" t="s">
        <v>20</v>
      </c>
      <c r="C8" s="53" t="s">
        <v>42</v>
      </c>
      <c r="D8" s="53" t="s">
        <v>43</v>
      </c>
      <c r="E8" s="43" t="s">
        <v>139</v>
      </c>
      <c r="F8" s="43" t="s">
        <v>81</v>
      </c>
      <c r="H8" s="43" t="s">
        <v>122</v>
      </c>
      <c r="I8" s="43" t="s">
        <v>155</v>
      </c>
      <c r="M8" s="43" t="str">
        <v/>
      </c>
      <c r="N8" s="43" t="str">
        <v>Kunnallistekniikan rakentaminen</v>
      </c>
      <c r="O8" s="43" t="str">
        <v>Verotulot</v>
      </c>
      <c r="P8" s="43" t="str">
        <v>Käyttömaksut, vesi</v>
      </c>
      <c r="Q8" s="43" t="str">
        <v>Teollinen</v>
      </c>
      <c r="R8" s="43" t="str">
        <v>Puistojen rakentaminen</v>
      </c>
    </row>
    <row r="9" spans="1:18" x14ac:dyDescent="0.25">
      <c r="A9" s="43" t="s">
        <v>14</v>
      </c>
      <c r="B9" s="43" t="s">
        <v>9</v>
      </c>
      <c r="C9" s="53" t="s">
        <v>79</v>
      </c>
      <c r="D9" s="53" t="s">
        <v>48</v>
      </c>
      <c r="E9" s="53" t="s">
        <v>140</v>
      </c>
      <c r="F9" s="43" t="s">
        <v>166</v>
      </c>
      <c r="H9" s="43" t="s">
        <v>104</v>
      </c>
      <c r="I9" s="43" t="s">
        <v>106</v>
      </c>
      <c r="N9" s="43" t="str">
        <v>Maaperän kunnostaminen</v>
      </c>
      <c r="O9" s="43" t="str">
        <v/>
      </c>
      <c r="P9" s="43" t="str">
        <v>Käyttömaksut, energia</v>
      </c>
      <c r="Q9" s="43" t="str">
        <v>Muu, täsmennä</v>
      </c>
      <c r="R9" s="43" t="str">
        <v>Purkaminen</v>
      </c>
    </row>
    <row r="10" spans="1:18" x14ac:dyDescent="0.25">
      <c r="A10" s="43" t="s">
        <v>14</v>
      </c>
      <c r="B10" s="43" t="s">
        <v>17</v>
      </c>
      <c r="C10" s="53" t="s">
        <v>79</v>
      </c>
      <c r="D10" s="53" t="s">
        <v>51</v>
      </c>
      <c r="E10" s="53"/>
      <c r="F10" s="43" t="s">
        <v>83</v>
      </c>
      <c r="H10" s="43" t="s">
        <v>120</v>
      </c>
      <c r="N10" s="43" t="str">
        <v>Melusuojat</v>
      </c>
      <c r="P10" s="43" t="str">
        <v>Liittymismaksut, vesi</v>
      </c>
      <c r="Q10" s="43" t="str">
        <v/>
      </c>
      <c r="R10" s="43" t="str">
        <v>Rakentamiskelpoiseksi saattaminen</v>
      </c>
    </row>
    <row r="11" spans="1:18" x14ac:dyDescent="0.25">
      <c r="A11" s="43" t="s">
        <v>14</v>
      </c>
      <c r="B11" s="43" t="s">
        <v>31</v>
      </c>
      <c r="C11" s="53" t="s">
        <v>79</v>
      </c>
      <c r="D11" s="53" t="s">
        <v>52</v>
      </c>
      <c r="E11" s="53"/>
      <c r="F11" s="43" t="s">
        <v>84</v>
      </c>
      <c r="N11" s="43" t="str">
        <v>Puistojen ja yleisten alueiden kunnossapito</v>
      </c>
      <c r="P11" s="43" t="str">
        <v>Liittymismaksut, energia</v>
      </c>
      <c r="R11" s="43" t="str">
        <v>Sillat</v>
      </c>
    </row>
    <row r="12" spans="1:18" x14ac:dyDescent="0.25">
      <c r="A12" s="43" t="s">
        <v>14</v>
      </c>
      <c r="B12" s="43" t="s">
        <v>23</v>
      </c>
      <c r="C12" s="53" t="s">
        <v>79</v>
      </c>
      <c r="D12" s="53" t="s">
        <v>55</v>
      </c>
      <c r="E12" s="53"/>
      <c r="F12" s="43" t="s">
        <v>21</v>
      </c>
      <c r="N12" s="43" t="str">
        <v>Puistojen ja yleisten alueiden rakentaminen</v>
      </c>
      <c r="P12" s="43" t="str">
        <v>Kunnallisvero</v>
      </c>
      <c r="R12" s="43" t="str">
        <v>Vesihuolto</v>
      </c>
    </row>
    <row r="13" spans="1:18" x14ac:dyDescent="0.25">
      <c r="A13" s="43" t="s">
        <v>14</v>
      </c>
      <c r="B13" s="43" t="s">
        <v>27</v>
      </c>
      <c r="C13" s="56" t="s">
        <v>44</v>
      </c>
      <c r="D13" s="53" t="s">
        <v>45</v>
      </c>
      <c r="E13" s="53"/>
      <c r="N13" s="43" t="str">
        <v>Pysäköinti</v>
      </c>
      <c r="P13" s="43" t="str">
        <v>Kiinteistövero</v>
      </c>
      <c r="R13" s="43" t="str">
        <v/>
      </c>
    </row>
    <row r="14" spans="1:18" x14ac:dyDescent="0.25">
      <c r="A14" s="43" t="s">
        <v>14</v>
      </c>
      <c r="B14" s="43" t="s">
        <v>25</v>
      </c>
      <c r="C14" s="55" t="s">
        <v>44</v>
      </c>
      <c r="D14" s="54" t="s">
        <v>46</v>
      </c>
      <c r="E14" s="56"/>
      <c r="N14" s="43" t="str">
        <v>Raitiotie</v>
      </c>
      <c r="P14" s="43" t="str">
        <v/>
      </c>
    </row>
    <row r="15" spans="1:18" x14ac:dyDescent="0.25">
      <c r="A15" s="43" t="s">
        <v>14</v>
      </c>
      <c r="B15" s="43" t="s">
        <v>10</v>
      </c>
      <c r="N15" s="43" t="str">
        <v>Rakenteiden muutokset ja purut</v>
      </c>
    </row>
    <row r="16" spans="1:18" x14ac:dyDescent="0.25">
      <c r="A16" s="43" t="s">
        <v>14</v>
      </c>
      <c r="B16" s="43" t="s">
        <v>86</v>
      </c>
      <c r="N16" s="43" t="str">
        <v>Taitorakenteet</v>
      </c>
    </row>
    <row r="17" spans="1:14" x14ac:dyDescent="0.25">
      <c r="A17" s="43" t="s">
        <v>14</v>
      </c>
      <c r="B17" s="43" t="s">
        <v>29</v>
      </c>
      <c r="N17" s="43" t="str">
        <v>Tie- ja katuverkon kunnossapito</v>
      </c>
    </row>
    <row r="18" spans="1:14" x14ac:dyDescent="0.25">
      <c r="A18" s="43" t="s">
        <v>14</v>
      </c>
      <c r="B18" s="43" t="s">
        <v>19</v>
      </c>
      <c r="N18" s="43" t="str">
        <v>Tie- ja katuverkon rakentaminen</v>
      </c>
    </row>
    <row r="19" spans="1:14" x14ac:dyDescent="0.25">
      <c r="A19" s="43" t="s">
        <v>14</v>
      </c>
      <c r="B19" s="43" t="s">
        <v>21</v>
      </c>
      <c r="N19" s="43" t="str">
        <v>Vesihuolto</v>
      </c>
    </row>
    <row r="20" spans="1:14" ht="15" customHeight="1" x14ac:dyDescent="0.25">
      <c r="A20" s="43" t="s">
        <v>14</v>
      </c>
      <c r="B20" s="43" t="s">
        <v>18</v>
      </c>
      <c r="N20" s="43" t="str">
        <v>Ympäristösuojat</v>
      </c>
    </row>
    <row r="21" spans="1:14" ht="15" customHeight="1" x14ac:dyDescent="0.25">
      <c r="A21" s="43" t="s">
        <v>14</v>
      </c>
      <c r="B21" s="43" t="s">
        <v>85</v>
      </c>
      <c r="N21" s="43" t="str">
        <v>Hulevesien hallinta</v>
      </c>
    </row>
    <row r="22" spans="1:14" x14ac:dyDescent="0.25">
      <c r="A22" s="43" t="s">
        <v>32</v>
      </c>
      <c r="B22" s="43" t="s">
        <v>33</v>
      </c>
      <c r="N22" s="43" t="str">
        <v>Maan osto</v>
      </c>
    </row>
    <row r="23" spans="1:14" x14ac:dyDescent="0.25">
      <c r="A23" s="43" t="s">
        <v>32</v>
      </c>
      <c r="B23" s="43" t="s">
        <v>36</v>
      </c>
      <c r="N23" s="43" t="str">
        <v>Maan lunastus</v>
      </c>
    </row>
    <row r="24" spans="1:14" x14ac:dyDescent="0.25">
      <c r="A24" s="43" t="s">
        <v>5</v>
      </c>
      <c r="B24" s="43" t="s">
        <v>5</v>
      </c>
      <c r="N24" s="43" t="str">
        <v>Talonrakentaminen</v>
      </c>
    </row>
    <row r="25" spans="1:14" ht="15" customHeight="1" x14ac:dyDescent="0.25">
      <c r="A25" s="43" t="s">
        <v>5</v>
      </c>
      <c r="B25" s="43" t="s">
        <v>6</v>
      </c>
      <c r="H25" s="51"/>
      <c r="I25" s="51"/>
      <c r="N25" s="43" t="str">
        <v>Palvelutilarakennusten kunnossapito</v>
      </c>
    </row>
    <row r="26" spans="1:14" ht="15" customHeight="1" x14ac:dyDescent="0.25">
      <c r="A26" s="43" t="s">
        <v>5</v>
      </c>
      <c r="B26" s="43" t="s">
        <v>9</v>
      </c>
      <c r="H26" s="51"/>
      <c r="I26" s="51"/>
      <c r="N26" s="43" t="str">
        <v>Palvelutilarakennusten rakentaminen</v>
      </c>
    </row>
    <row r="27" spans="1:14" x14ac:dyDescent="0.25">
      <c r="A27" s="43" t="s">
        <v>5</v>
      </c>
      <c r="B27" s="43" t="s">
        <v>13</v>
      </c>
      <c r="N27" s="43" t="str">
        <v/>
      </c>
    </row>
    <row r="28" spans="1:14" x14ac:dyDescent="0.25">
      <c r="A28" s="43" t="s">
        <v>5</v>
      </c>
      <c r="B28" s="43" t="s">
        <v>12</v>
      </c>
    </row>
    <row r="29" spans="1:14" x14ac:dyDescent="0.25">
      <c r="A29" s="43" t="s">
        <v>5</v>
      </c>
      <c r="B29" s="43" t="s">
        <v>10</v>
      </c>
    </row>
    <row r="30" spans="1:14" x14ac:dyDescent="0.25">
      <c r="A30" s="43" t="s">
        <v>5</v>
      </c>
      <c r="B30" s="43" t="s">
        <v>5</v>
      </c>
    </row>
  </sheetData>
  <mergeCells count="7">
    <mergeCell ref="O3:P3"/>
    <mergeCell ref="A3:B3"/>
    <mergeCell ref="A1:E2"/>
    <mergeCell ref="M3:N3"/>
    <mergeCell ref="C3:E3"/>
    <mergeCell ref="H1:I2"/>
    <mergeCell ref="M1:R2"/>
  </mergeCells>
  <dataValidations disablePrompts="1" count="1">
    <dataValidation allowBlank="1" showInputMessage="1" showErrorMessage="1" promptTitle="LISTAT" prompt="Näistä listoista tulee alasvetovalikot kategorisointiin." sqref="M1" xr:uid="{12E0DCBE-4C5A-4D97-A5D2-BBE6B99C5919}"/>
  </dataValidations>
  <pageMargins left="0.7" right="0.7" top="0.75" bottom="0.75" header="0.3" footer="0.3"/>
  <pageSetup paperSize="9" orientation="portrait" verticalDpi="0" r:id="rId1"/>
  <tableParts count="5">
    <tablePart r:id="rId2"/>
    <tablePart r:id="rId3"/>
    <tablePart r:id="rId4"/>
    <tablePart r:id="rId5"/>
    <tablePart r:id="rId6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7b0f00e-8e3c-4c97-aae4-84e4fa946a43" xsi:nil="true"/>
    <lcf76f155ced4ddcb4097134ff3c332f xmlns="f17bdfe0-1f97-4b4f-9f37-8d3d291463d3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Asiakirja" ma:contentTypeID="0x010100E040BE69E6D08C4BB592A67BB74D7AC0" ma:contentTypeVersion="12" ma:contentTypeDescription="Luo uusi asiakirja." ma:contentTypeScope="" ma:versionID="e841121c087f7b386c3761fa57194d31">
  <xsd:schema xmlns:xsd="http://www.w3.org/2001/XMLSchema" xmlns:xs="http://www.w3.org/2001/XMLSchema" xmlns:p="http://schemas.microsoft.com/office/2006/metadata/properties" xmlns:ns2="f17bdfe0-1f97-4b4f-9f37-8d3d291463d3" xmlns:ns3="b7b0f00e-8e3c-4c97-aae4-84e4fa946a43" targetNamespace="http://schemas.microsoft.com/office/2006/metadata/properties" ma:root="true" ma:fieldsID="2e22d3db688d664e87d549f0196fe829" ns2:_="" ns3:_="">
    <xsd:import namespace="f17bdfe0-1f97-4b4f-9f37-8d3d291463d3"/>
    <xsd:import namespace="b7b0f00e-8e3c-4c97-aae4-84e4fa946a4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7bdfe0-1f97-4b4f-9f37-8d3d291463d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Kuvien tunnisteet" ma:readOnly="false" ma:fieldId="{5cf76f15-5ced-4ddc-b409-7134ff3c332f}" ma:taxonomyMulti="true" ma:sspId="ca21971b-e04b-4e31-9f45-cf2f6b61fcc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b0f00e-8e3c-4c97-aae4-84e4fa946a43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baff64d9-98b5-4a2f-98f8-39e138056164}" ma:internalName="TaxCatchAll" ma:showField="CatchAllData" ma:web="b7b0f00e-8e3c-4c97-aae4-84e4fa946a4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Sisältölaji"/>
        <xsd:element ref="dc:title" minOccurs="0" maxOccurs="1" ma:index="4" ma:displayName="Otsikk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E24705C-3AD8-4ED5-BEF5-9742568E7C15}">
  <ds:schemaRefs>
    <ds:schemaRef ds:uri="http://schemas.microsoft.com/office/2006/metadata/properties"/>
    <ds:schemaRef ds:uri="http://schemas.microsoft.com/office/infopath/2007/PartnerControls"/>
    <ds:schemaRef ds:uri="b7b0f00e-8e3c-4c97-aae4-84e4fa946a43"/>
    <ds:schemaRef ds:uri="f17bdfe0-1f97-4b4f-9f37-8d3d291463d3"/>
  </ds:schemaRefs>
</ds:datastoreItem>
</file>

<file path=customXml/itemProps2.xml><?xml version="1.0" encoding="utf-8"?>
<ds:datastoreItem xmlns:ds="http://schemas.openxmlformats.org/officeDocument/2006/customXml" ds:itemID="{51F4886A-2E5D-49EA-9EBD-6982BE3029A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A7817F0-F46E-4C56-823C-7D7FF1096F6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17bdfe0-1f97-4b4f-9f37-8d3d291463d3"/>
    <ds:schemaRef ds:uri="b7b0f00e-8e3c-4c97-aae4-84e4fa946a4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taustatiedot</vt:lpstr>
      <vt:lpstr>YHTEENVETO</vt:lpstr>
      <vt:lpstr>KUSTANNUKSET</vt:lpstr>
      <vt:lpstr>TULOT</vt:lpstr>
      <vt:lpstr>PÄÄSTÖT</vt:lpstr>
      <vt:lpstr>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Anne-Mari Koivisto</dc:creator>
  <cp:keywords/>
  <dc:description/>
  <cp:lastModifiedBy>Jaakko Junttu</cp:lastModifiedBy>
  <cp:revision/>
  <dcterms:created xsi:type="dcterms:W3CDTF">2026-02-19T09:03:48Z</dcterms:created>
  <dcterms:modified xsi:type="dcterms:W3CDTF">2026-04-28T09:59:01Z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0ea7001-5c24-4702-a3ac-e436ccb02747_Enabled">
    <vt:lpwstr>true</vt:lpwstr>
  </property>
  <property fmtid="{D5CDD505-2E9C-101B-9397-08002B2CF9AE}" pid="3" name="MSIP_Label_20ea7001-5c24-4702-a3ac-e436ccb02747_SetDate">
    <vt:lpwstr>2026-02-19T09:04:04Z</vt:lpwstr>
  </property>
  <property fmtid="{D5CDD505-2E9C-101B-9397-08002B2CF9AE}" pid="4" name="MSIP_Label_20ea7001-5c24-4702-a3ac-e436ccb02747_Method">
    <vt:lpwstr>Standard</vt:lpwstr>
  </property>
  <property fmtid="{D5CDD505-2E9C-101B-9397-08002B2CF9AE}" pid="5" name="MSIP_Label_20ea7001-5c24-4702-a3ac-e436ccb02747_Name">
    <vt:lpwstr>Confidential</vt:lpwstr>
  </property>
  <property fmtid="{D5CDD505-2E9C-101B-9397-08002B2CF9AE}" pid="6" name="MSIP_Label_20ea7001-5c24-4702-a3ac-e436ccb02747_SiteId">
    <vt:lpwstr>c8823c91-be81-4f89-b024-6c3dd789c106</vt:lpwstr>
  </property>
  <property fmtid="{D5CDD505-2E9C-101B-9397-08002B2CF9AE}" pid="7" name="MSIP_Label_20ea7001-5c24-4702-a3ac-e436ccb02747_ActionId">
    <vt:lpwstr>802fd67c-0e51-496e-9fb5-23f20797de41</vt:lpwstr>
  </property>
  <property fmtid="{D5CDD505-2E9C-101B-9397-08002B2CF9AE}" pid="8" name="MSIP_Label_20ea7001-5c24-4702-a3ac-e436ccb02747_ContentBits">
    <vt:lpwstr>2</vt:lpwstr>
  </property>
  <property fmtid="{D5CDD505-2E9C-101B-9397-08002B2CF9AE}" pid="9" name="MSIP_Label_20ea7001-5c24-4702-a3ac-e436ccb02747_Tag">
    <vt:lpwstr>10, 3, 0, 1</vt:lpwstr>
  </property>
  <property fmtid="{D5CDD505-2E9C-101B-9397-08002B2CF9AE}" pid="10" name="ContentTypeId">
    <vt:lpwstr>0x010100E040BE69E6D08C4BB592A67BB74D7AC0</vt:lpwstr>
  </property>
  <property fmtid="{D5CDD505-2E9C-101B-9397-08002B2CF9AE}" pid="11" name="MediaServiceImageTags">
    <vt:lpwstr/>
  </property>
</Properties>
</file>